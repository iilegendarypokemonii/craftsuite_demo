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ummary" sheetId="1" r:id="rId1"/>
    <sheet name="Counts" sheetId="2" r:id="rId2"/>
    <sheet name="Posts" sheetId="3" r:id="rId3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<sst xmlns="http://schemas.openxmlformats.org/spreadsheetml/2006/main" count="2800" uniqueCount="810">
  <si>
    <t>Signal &amp; Noise 2026</t>
  </si>
  <si>
    <t>How social media talked about LLMs, Jan–Sep 2026 · hand-coded sample of 387 posts · Northbank Media Lab</t>
  </si>
  <si>
    <t>Share of the conversation: each theme's % of that month's LLM posts</t>
  </si>
  <si>
    <t>Month</t>
  </si>
  <si>
    <t>Agentic coding</t>
  </si>
  <si>
    <t>Open-weight models</t>
  </si>
  <si>
    <t>Reasoning &amp; test-time compute</t>
  </si>
  <si>
    <t>Prices &amp; tokens</t>
  </si>
  <si>
    <t>On-device AI</t>
  </si>
  <si>
    <t>Regulation &amp; policy</t>
  </si>
  <si>
    <t>Benchmarks &amp; evals</t>
  </si>
  <si>
    <t>Compute &amp; energy</t>
  </si>
  <si>
    <t>Multimodal &amp; voice</t>
  </si>
  <si>
    <t>Safety &amp; trust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</si>
  <si>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</si>
  <si>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</si>
  <si>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</si>
  <si>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</si>
  <si>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</si>
  <si>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</si>
  <si>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</si>
  <si>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</si>
  <si>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</si>
  <si>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Jan–Sep</t>
  </si>
  <si>
    <t>Change and tone by theme</t>
  </si>
  <si>
    <t>Theme</t>
  </si>
  <si>
    <t>Share of all posts</t>
  </si>
  <si>
    <t>Share in Jan</t>
  </si>
  <si>
    <t>Share in Sep</t>
  </si>
  <si>
    <t>Change</t>
  </si>
  <si>
    <t>positive</t>
  </si>
  <si>
    <t>neutral</t>
  </si>
  <si>
    <t>negative</t>
  </si>
  <si>
    <t>All themes</t>
  </si>
  <si>
    <t>Illustrative, synthetic data. The 387 fictional posts are a hand-coded sample of a much larger stream. The Counts sheet shows the raw counts.</t>
  </si>
  <si>
    <t>Chart data: share of the conversation, 4 key themes</t>
  </si>
  <si>
    <t>Chart data: % of posts that are negative</t>
  </si>
  <si>
    <t>% negative</t>
  </si>
  <si>
    <t>Average, all themes</t>
  </si>
  <si>
    <t>Post counts by month × theme</t>
  </si>
  <si>
    <t>COUNTIFS over the Posts sheet · hand-coded sample of 387 posts (synthetic)</t>
  </si>
  <si>
    <t>All posts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</si>
  <si>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</si>
  <si>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</si>
  <si>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</si>
  <si>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</si>
  <si>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</si>
  <si>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</si>
  <si>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</si>
  <si>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</si>
  <si>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</si>
  <si>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The Summary sheet calculates its percentages from these counts. Illustrative, synthetic data.</t>
  </si>
  <si>
    <t>post_id</t>
  </si>
  <si>
    <t>date</t>
  </si>
  <si>
    <t>month</t>
  </si>
  <si>
    <t>platform</t>
  </si>
  <si>
    <t>author</t>
  </si>
  <si>
    <t>theme</t>
  </si>
  <si>
    <t>sentiment</t>
  </si>
  <si>
    <t>likes</t>
  </si>
  <si>
    <t>reposts</t>
  </si>
  <si>
    <t>replies</t>
  </si>
  <si>
    <t>text</t>
  </si>
  <si>
    <t>P0001</t>
  </si>
  <si>
    <t>Bluesky</t>
  </si>
  <si>
    <t>@researcher_353</t>
  </si>
  <si>
    <t>Per-token prices dropped again. Our bill went up anyway because we use ten times more.</t>
  </si>
  <si>
    <t>P0002</t>
  </si>
  <si>
    <t>LinkedIn</t>
  </si>
  <si>
    <t>@researcher_872</t>
  </si>
  <si>
    <t>Started publishing our eval prompts with results. Much better conversations since.</t>
  </si>
  <si>
    <t>P0003</t>
  </si>
  <si>
    <t>Mastodon</t>
  </si>
  <si>
    <t>@researcher_715</t>
  </si>
  <si>
    <t>Hot take: the real product is the test suite, the agent just fills it in.</t>
  </si>
  <si>
    <t>P0004</t>
  </si>
  <si>
    <t>@researcher_761</t>
  </si>
  <si>
    <t>GPU waitlists are shorter this year, power contracts are the new bottleneck.</t>
  </si>
  <si>
    <t>P0005</t>
  </si>
  <si>
    <t>Threads</t>
  </si>
  <si>
    <t>@researcher_421</t>
  </si>
  <si>
    <t>Generated video got good enough that we now watermark all our own footage.</t>
  </si>
  <si>
    <t>P0006</t>
  </si>
  <si>
    <t>Hacker News</t>
  </si>
  <si>
    <t>@researcher_264</t>
  </si>
  <si>
    <t>P0007</t>
  </si>
  <si>
    <t>@researcher_546</t>
  </si>
  <si>
    <t>Voice mode is how my parents use AI now. No typing at all.</t>
  </si>
  <si>
    <t>P0008</t>
  </si>
  <si>
    <t>@researcher_315</t>
  </si>
  <si>
    <t>Our team now opens more PRs from agents than from humans. Review is the new bottleneck.</t>
  </si>
  <si>
    <t>P0009</t>
  </si>
  <si>
    <t>@researcher_568</t>
  </si>
  <si>
    <t>Another open-weight release that runs on a single workstation GPU. The gap to closed models keeps shrinking.</t>
  </si>
  <si>
    <t>P0010</t>
  </si>
  <si>
    <t>@researcher_593</t>
  </si>
  <si>
    <t>Benchmark scores up, our internal task success flat. Classic.</t>
  </si>
  <si>
    <t>P0011</t>
  </si>
  <si>
    <t>@researcher_619</t>
  </si>
  <si>
    <t>On-device models finally good enough for note summaries. Privacy team is happy.</t>
  </si>
  <si>
    <t>P0012</t>
  </si>
  <si>
    <t>@researcher_320</t>
  </si>
  <si>
    <t>Users trust answers more when the model shows its sources. Obvious, but measurable.</t>
  </si>
  <si>
    <t>P0013</t>
  </si>
  <si>
    <t>Reddit</t>
  </si>
  <si>
    <t>@researcher_126</t>
  </si>
  <si>
    <t>Ran a capable assistant fully offline on a laptop on a train. Felt like the future for a minute.</t>
  </si>
  <si>
    <t>P0014</t>
  </si>
  <si>
    <t>@researcher_260</t>
  </si>
  <si>
    <t>P0015</t>
  </si>
  <si>
    <t>@researcher_978</t>
  </si>
  <si>
    <t>Prompt injection through web pages is our number one incident category now.</t>
  </si>
  <si>
    <t>P0016</t>
  </si>
  <si>
    <t>@researcher_535</t>
  </si>
  <si>
    <t>Watched a model argue with itself for 40 seconds and get the right answer. Still not sure how I feel.</t>
  </si>
  <si>
    <t>P0017</t>
  </si>
  <si>
    <t>@researcher_249</t>
  </si>
  <si>
    <t>Cost dashboards for LLM usage are the new cloud-cost dashboards.</t>
  </si>
  <si>
    <t>P0018</t>
  </si>
  <si>
    <t>@researcher_937</t>
  </si>
  <si>
    <t>P0019</t>
  </si>
  <si>
    <t>@researcher_685</t>
  </si>
  <si>
    <t>Transparency rules for AI-generated content are changing how we label posts.</t>
  </si>
  <si>
    <t>P0020</t>
  </si>
  <si>
    <t>@researcher_700</t>
  </si>
  <si>
    <t>P0021</t>
  </si>
  <si>
    <t>@researcher_681</t>
  </si>
  <si>
    <t>Interesting to see energy use per query showing up in vendor docs.</t>
  </si>
  <si>
    <t>P0022</t>
  </si>
  <si>
    <t>@researcher_602</t>
  </si>
  <si>
    <t>Fine-tuned an open-weight model on our support tickets over a weekend. Good enough to ship internally.</t>
  </si>
  <si>
    <t>P0023</t>
  </si>
  <si>
    <t>@researcher_895</t>
  </si>
  <si>
    <t>P0024</t>
  </si>
  <si>
    <t>@researcher_887</t>
  </si>
  <si>
    <t>P0025</t>
  </si>
  <si>
    <t>@researcher_192</t>
  </si>
  <si>
    <t>P0026</t>
  </si>
  <si>
    <t>@researcher_673</t>
  </si>
  <si>
    <t>Reasoning modes help on maths and planning; for plain summaries they mostly add latency.</t>
  </si>
  <si>
    <t>P0027</t>
  </si>
  <si>
    <t>@researcher_307</t>
  </si>
  <si>
    <t>P0028</t>
  </si>
  <si>
    <t>@researcher_334</t>
  </si>
  <si>
    <t>Paying for 'thinking time' per request is a strange new line item on our invoice.</t>
  </si>
  <si>
    <t>P0029</t>
  </si>
  <si>
    <t>@researcher_809</t>
  </si>
  <si>
    <t>Cheap small models for routing, expensive ones only when needed. Saved us 60% this quarter.</t>
  </si>
  <si>
    <t>P0030</t>
  </si>
  <si>
    <t>@researcher_931</t>
  </si>
  <si>
    <t>P0031</t>
  </si>
  <si>
    <t>@researcher_794</t>
  </si>
  <si>
    <t>P0032</t>
  </si>
  <si>
    <t>@researcher_577</t>
  </si>
  <si>
    <t>P0033</t>
  </si>
  <si>
    <t>@researcher_452</t>
  </si>
  <si>
    <t>Leaderboards saturate within months. We trust our own eval set more than any public chart.</t>
  </si>
  <si>
    <t>P0034</t>
  </si>
  <si>
    <t>@researcher_489</t>
  </si>
  <si>
    <t>P0035</t>
  </si>
  <si>
    <t>@researcher_778</t>
  </si>
  <si>
    <t>P0036</t>
  </si>
  <si>
    <t>@researcher_425</t>
  </si>
  <si>
    <t>P0037</t>
  </si>
  <si>
    <t>@researcher_610</t>
  </si>
  <si>
    <t>P0038</t>
  </si>
  <si>
    <t>@researcher_248</t>
  </si>
  <si>
    <t>P0039</t>
  </si>
  <si>
    <t>@researcher_624</t>
  </si>
  <si>
    <t>P0040</t>
  </si>
  <si>
    <t>@researcher_409</t>
  </si>
  <si>
    <t>Handed a whole refactor to a coding agent this week. It finished, but reviewing the diff took longer than writing it would have.</t>
  </si>
  <si>
    <t>P0041</t>
  </si>
  <si>
    <t>@researcher_905</t>
  </si>
  <si>
    <t>P0042</t>
  </si>
  <si>
    <t>@researcher_635</t>
  </si>
  <si>
    <t>P0043</t>
  </si>
  <si>
    <t>@researcher_952</t>
  </si>
  <si>
    <t>P0044</t>
  </si>
  <si>
    <t>@researcher_741</t>
  </si>
  <si>
    <t>Licensing on open-weight models is getting more confusing, not less.</t>
  </si>
  <si>
    <t>P0045</t>
  </si>
  <si>
    <t>@researcher_225</t>
  </si>
  <si>
    <t>P0046</t>
  </si>
  <si>
    <t>@researcher_377</t>
  </si>
  <si>
    <t>P0047</t>
  </si>
  <si>
    <t>@researcher_986</t>
  </si>
  <si>
    <t>P0048</t>
  </si>
  <si>
    <t>@researcher_759</t>
  </si>
  <si>
    <t>P0049</t>
  </si>
  <si>
    <t>@researcher_419</t>
  </si>
  <si>
    <t>P0050</t>
  </si>
  <si>
    <t>@researcher_772</t>
  </si>
  <si>
    <t>P0051</t>
  </si>
  <si>
    <t>@researcher_777</t>
  </si>
  <si>
    <t>P0052</t>
  </si>
  <si>
    <t>@researcher_893</t>
  </si>
  <si>
    <t>P0053</t>
  </si>
  <si>
    <t>@researcher_857</t>
  </si>
  <si>
    <t>P0054</t>
  </si>
  <si>
    <t>@researcher_357</t>
  </si>
  <si>
    <t>P0055</t>
  </si>
  <si>
    <t>@researcher_855</t>
  </si>
  <si>
    <t>P0056</t>
  </si>
  <si>
    <t>@researcher_170</t>
  </si>
  <si>
    <t>Compliance teams are reading model cards now. That's new.</t>
  </si>
  <si>
    <t>P0057</t>
  </si>
  <si>
    <t>@researcher_650</t>
  </si>
  <si>
    <t>P0058</t>
  </si>
  <si>
    <t>@researcher_354</t>
  </si>
  <si>
    <t>P0059</t>
  </si>
  <si>
    <t>@researcher_122</t>
  </si>
  <si>
    <t>P0060</t>
  </si>
  <si>
    <t>@researcher_254</t>
  </si>
  <si>
    <t>P0061</t>
  </si>
  <si>
    <t>@researcher_293</t>
  </si>
  <si>
    <t>P0062</t>
  </si>
  <si>
    <t>@researcher_967</t>
  </si>
  <si>
    <t>P0063</t>
  </si>
  <si>
    <t>@researcher_274</t>
  </si>
  <si>
    <t>Screenshots in, structured data out. Multimodal quietly replaced half our OCR pipeline.</t>
  </si>
  <si>
    <t>P0064</t>
  </si>
  <si>
    <t>@researcher_783</t>
  </si>
  <si>
    <t>P0065</t>
  </si>
  <si>
    <t>@researcher_838</t>
  </si>
  <si>
    <t>P0066</t>
  </si>
  <si>
    <t>@researcher_675</t>
  </si>
  <si>
    <t>Spent the morning on an AI-use register for our org. Boring, necessary.</t>
  </si>
  <si>
    <t>P0067</t>
  </si>
  <si>
    <t>@researcher_509</t>
  </si>
  <si>
    <t>P0068</t>
  </si>
  <si>
    <t>@researcher_981</t>
  </si>
  <si>
    <t>P0069</t>
  </si>
  <si>
    <t>@researcher_180</t>
  </si>
  <si>
    <t>P0070</t>
  </si>
  <si>
    <t>@researcher_127</t>
  </si>
  <si>
    <t>P0071</t>
  </si>
  <si>
    <t>@researcher_213</t>
  </si>
  <si>
    <t>P0072</t>
  </si>
  <si>
    <t>@researcher_737</t>
  </si>
  <si>
    <t>P0073</t>
  </si>
  <si>
    <t>@researcher_344</t>
  </si>
  <si>
    <t>P0074</t>
  </si>
  <si>
    <t>@researcher_191</t>
  </si>
  <si>
    <t>P0075</t>
  </si>
  <si>
    <t>@researcher_810</t>
  </si>
  <si>
    <t>P0076</t>
  </si>
  <si>
    <t>@researcher_365</t>
  </si>
  <si>
    <t>Every second local news item here is about a new data centre and the grid.</t>
  </si>
  <si>
    <t>P0077</t>
  </si>
  <si>
    <t>@researcher_780</t>
  </si>
  <si>
    <t>P0078</t>
  </si>
  <si>
    <t>@researcher_994</t>
  </si>
  <si>
    <t>P0079</t>
  </si>
  <si>
    <t>@researcher_316</t>
  </si>
  <si>
    <t>P0080</t>
  </si>
  <si>
    <t>@researcher_308</t>
  </si>
  <si>
    <t>P0081</t>
  </si>
  <si>
    <t>@researcher_467</t>
  </si>
  <si>
    <t>P0082</t>
  </si>
  <si>
    <t>@researcher_278</t>
  </si>
  <si>
    <t>P0083</t>
  </si>
  <si>
    <t>@researcher_363</t>
  </si>
  <si>
    <t>P0084</t>
  </si>
  <si>
    <t>@researcher_270</t>
  </si>
  <si>
    <t>P0085</t>
  </si>
  <si>
    <t>P0086</t>
  </si>
  <si>
    <t>@researcher_579</t>
  </si>
  <si>
    <t>P0087</t>
  </si>
  <si>
    <t>@researcher_442</t>
  </si>
  <si>
    <t>Battery life is the real benchmark for phone-side models.</t>
  </si>
  <si>
    <t>P0088</t>
  </si>
  <si>
    <t>@researcher_749</t>
  </si>
  <si>
    <t>P0089</t>
  </si>
  <si>
    <t>@researcher_730</t>
  </si>
  <si>
    <t>P0090</t>
  </si>
  <si>
    <t>@researcher_471</t>
  </si>
  <si>
    <t>P0091</t>
  </si>
  <si>
    <t>@researcher_705</t>
  </si>
  <si>
    <t>P0092</t>
  </si>
  <si>
    <t>@researcher_162</t>
  </si>
  <si>
    <t>P0093</t>
  </si>
  <si>
    <t>@researcher_516</t>
  </si>
  <si>
    <t>P0094</t>
  </si>
  <si>
    <t>@researcher_563</t>
  </si>
  <si>
    <t>P0095</t>
  </si>
  <si>
    <t>@researcher_346</t>
  </si>
  <si>
    <t>P0096</t>
  </si>
  <si>
    <t>@researcher_991</t>
  </si>
  <si>
    <t>P0097</t>
  </si>
  <si>
    <t>@researcher_796</t>
  </si>
  <si>
    <t>P0098</t>
  </si>
  <si>
    <t>@researcher_634</t>
  </si>
  <si>
    <t>P0099</t>
  </si>
  <si>
    <t>@researcher_385</t>
  </si>
  <si>
    <t>P0100</t>
  </si>
  <si>
    <t>@researcher_154</t>
  </si>
  <si>
    <t>P0101</t>
  </si>
  <si>
    <t>@researcher_330</t>
  </si>
  <si>
    <t>P0102</t>
  </si>
  <si>
    <t>@researcher_727</t>
  </si>
  <si>
    <t>P0103</t>
  </si>
  <si>
    <t>@researcher_186</t>
  </si>
  <si>
    <t>P0104</t>
  </si>
  <si>
    <t>@researcher_398</t>
  </si>
  <si>
    <t>P0105</t>
  </si>
  <si>
    <t>@researcher_574</t>
  </si>
  <si>
    <t>P0106</t>
  </si>
  <si>
    <t>P0107</t>
  </si>
  <si>
    <t>@researcher_702</t>
  </si>
  <si>
    <t>P0108</t>
  </si>
  <si>
    <t>P0109</t>
  </si>
  <si>
    <t>@researcher_349</t>
  </si>
  <si>
    <t>P0110</t>
  </si>
  <si>
    <t>@researcher_567</t>
  </si>
  <si>
    <t>P0111</t>
  </si>
  <si>
    <t>@researcher_977</t>
  </si>
  <si>
    <t>P0112</t>
  </si>
  <si>
    <t>@researcher_311</t>
  </si>
  <si>
    <t>P0113</t>
  </si>
  <si>
    <t>@researcher_454</t>
  </si>
  <si>
    <t>P0114</t>
  </si>
  <si>
    <t>@researcher_533</t>
  </si>
  <si>
    <t>P0115</t>
  </si>
  <si>
    <t>@researcher_479</t>
  </si>
  <si>
    <t>P0116</t>
  </si>
  <si>
    <t>@researcher_101</t>
  </si>
  <si>
    <t>P0117</t>
  </si>
  <si>
    <t>We added a human sign-off step for every agent action that spends money.</t>
  </si>
  <si>
    <t>P0118</t>
  </si>
  <si>
    <t>@researcher_393</t>
  </si>
  <si>
    <t>P0119</t>
  </si>
  <si>
    <t>@researcher_555</t>
  </si>
  <si>
    <t>P0120</t>
  </si>
  <si>
    <t>P0121</t>
  </si>
  <si>
    <t>@researcher_748</t>
  </si>
  <si>
    <t>P0122</t>
  </si>
  <si>
    <t>@researcher_178</t>
  </si>
  <si>
    <t>P0123</t>
  </si>
  <si>
    <t>@researcher_912</t>
  </si>
  <si>
    <t>P0124</t>
  </si>
  <si>
    <t>@researcher_455</t>
  </si>
  <si>
    <t>P0125</t>
  </si>
  <si>
    <t>@researcher_698</t>
  </si>
  <si>
    <t>P0126</t>
  </si>
  <si>
    <t>@researcher_410</t>
  </si>
  <si>
    <t>P0127</t>
  </si>
  <si>
    <t>@researcher_751</t>
  </si>
  <si>
    <t>P0128</t>
  </si>
  <si>
    <t>@researcher_692</t>
  </si>
  <si>
    <t>P0129</t>
  </si>
  <si>
    <t>@researcher_538</t>
  </si>
  <si>
    <t>P0130</t>
  </si>
  <si>
    <t>@researcher_704</t>
  </si>
  <si>
    <t>P0131</t>
  </si>
  <si>
    <t>@researcher_990</t>
  </si>
  <si>
    <t>P0132</t>
  </si>
  <si>
    <t>@researcher_933</t>
  </si>
  <si>
    <t>P0133</t>
  </si>
  <si>
    <t>@researcher_591</t>
  </si>
  <si>
    <t>P0134</t>
  </si>
  <si>
    <t>@researcher_513</t>
  </si>
  <si>
    <t>P0135</t>
  </si>
  <si>
    <t>@researcher_473</t>
  </si>
  <si>
    <t>P0136</t>
  </si>
  <si>
    <t>@researcher_572</t>
  </si>
  <si>
    <t>P0137</t>
  </si>
  <si>
    <t>@researcher_100</t>
  </si>
  <si>
    <t>P0138</t>
  </si>
  <si>
    <t>P0139</t>
  </si>
  <si>
    <t>@researcher_449</t>
  </si>
  <si>
    <t>P0140</t>
  </si>
  <si>
    <t>P0141</t>
  </si>
  <si>
    <t>@researcher_649</t>
  </si>
  <si>
    <t>P0142</t>
  </si>
  <si>
    <t>@researcher_497</t>
  </si>
  <si>
    <t>P0143</t>
  </si>
  <si>
    <t>@researcher_272</t>
  </si>
  <si>
    <t>P0144</t>
  </si>
  <si>
    <t>P0145</t>
  </si>
  <si>
    <t>@researcher_638</t>
  </si>
  <si>
    <t>P0146</t>
  </si>
  <si>
    <t>@researcher_623</t>
  </si>
  <si>
    <t>P0147</t>
  </si>
  <si>
    <t>@researcher_760</t>
  </si>
  <si>
    <t>P0148</t>
  </si>
  <si>
    <t>@researcher_958</t>
  </si>
  <si>
    <t>P0149</t>
  </si>
  <si>
    <t>@researcher_188</t>
  </si>
  <si>
    <t>P0150</t>
  </si>
  <si>
    <t>@researcher_762</t>
  </si>
  <si>
    <t>P0151</t>
  </si>
  <si>
    <t>@researcher_565</t>
  </si>
  <si>
    <t>P0152</t>
  </si>
  <si>
    <t>@researcher_708</t>
  </si>
  <si>
    <t>P0153</t>
  </si>
  <si>
    <t>P0154</t>
  </si>
  <si>
    <t>@researcher_801</t>
  </si>
  <si>
    <t>P0155</t>
  </si>
  <si>
    <t>@researcher_758</t>
  </si>
  <si>
    <t>P0156</t>
  </si>
  <si>
    <t>P0157</t>
  </si>
  <si>
    <t>@researcher_656</t>
  </si>
  <si>
    <t>P0158</t>
  </si>
  <si>
    <t>P0159</t>
  </si>
  <si>
    <t>@researcher_500</t>
  </si>
  <si>
    <t>P0160</t>
  </si>
  <si>
    <t>@researcher_653</t>
  </si>
  <si>
    <t>P0161</t>
  </si>
  <si>
    <t>@researcher_578</t>
  </si>
  <si>
    <t>P0162</t>
  </si>
  <si>
    <t>@researcher_970</t>
  </si>
  <si>
    <t>P0163</t>
  </si>
  <si>
    <t>P0164</t>
  </si>
  <si>
    <t>@researcher_711</t>
  </si>
  <si>
    <t>P0165</t>
  </si>
  <si>
    <t>@researcher_397</t>
  </si>
  <si>
    <t>P0166</t>
  </si>
  <si>
    <t>P0167</t>
  </si>
  <si>
    <t>@researcher_510</t>
  </si>
  <si>
    <t>P0168</t>
  </si>
  <si>
    <t>P0169</t>
  </si>
  <si>
    <t>@researcher_360</t>
  </si>
  <si>
    <t>P0170</t>
  </si>
  <si>
    <t>@researcher_615</t>
  </si>
  <si>
    <t>P0171</t>
  </si>
  <si>
    <t>@researcher_241</t>
  </si>
  <si>
    <t>P0172</t>
  </si>
  <si>
    <t>@researcher_600</t>
  </si>
  <si>
    <t>P0173</t>
  </si>
  <si>
    <t>@researcher_648</t>
  </si>
  <si>
    <t>P0174</t>
  </si>
  <si>
    <t>@researcher_800</t>
  </si>
  <si>
    <t>P0175</t>
  </si>
  <si>
    <t>@researcher_116</t>
  </si>
  <si>
    <t>P0176</t>
  </si>
  <si>
    <t>@researcher_852</t>
  </si>
  <si>
    <t>P0177</t>
  </si>
  <si>
    <t>@researcher_876</t>
  </si>
  <si>
    <t>P0178</t>
  </si>
  <si>
    <t>@researcher_604</t>
  </si>
  <si>
    <t>P0179</t>
  </si>
  <si>
    <t>@researcher_504</t>
  </si>
  <si>
    <t>P0180</t>
  </si>
  <si>
    <t>@researcher_821</t>
  </si>
  <si>
    <t>P0181</t>
  </si>
  <si>
    <t>@researcher_686</t>
  </si>
  <si>
    <t>P0182</t>
  </si>
  <si>
    <t>@researcher_279</t>
  </si>
  <si>
    <t>P0183</t>
  </si>
  <si>
    <t>P0184</t>
  </si>
  <si>
    <t>@researcher_926</t>
  </si>
  <si>
    <t>P0185</t>
  </si>
  <si>
    <t>@researcher_402</t>
  </si>
  <si>
    <t>P0186</t>
  </si>
  <si>
    <t>@researcher_590</t>
  </si>
  <si>
    <t>P0187</t>
  </si>
  <si>
    <t>P0188</t>
  </si>
  <si>
    <t>P0189</t>
  </si>
  <si>
    <t>P0190</t>
  </si>
  <si>
    <t>@researcher_416</t>
  </si>
  <si>
    <t>P0191</t>
  </si>
  <si>
    <t>@researcher_922</t>
  </si>
  <si>
    <t>P0192</t>
  </si>
  <si>
    <t>P0193</t>
  </si>
  <si>
    <t>@researcher_391</t>
  </si>
  <si>
    <t>P0194</t>
  </si>
  <si>
    <t>@researcher_883</t>
  </si>
  <si>
    <t>P0195</t>
  </si>
  <si>
    <t>@researcher_439</t>
  </si>
  <si>
    <t>P0196</t>
  </si>
  <si>
    <t>@researcher_736</t>
  </si>
  <si>
    <t>P0197</t>
  </si>
  <si>
    <t>P0198</t>
  </si>
  <si>
    <t>@researcher_712</t>
  </si>
  <si>
    <t>P0199</t>
  </si>
  <si>
    <t>@researcher_164</t>
  </si>
  <si>
    <t>P0200</t>
  </si>
  <si>
    <t>@researcher_843</t>
  </si>
  <si>
    <t>P0201</t>
  </si>
  <si>
    <t>@researcher_814</t>
  </si>
  <si>
    <t>P0202</t>
  </si>
  <si>
    <t>@researcher_595</t>
  </si>
  <si>
    <t>P0203</t>
  </si>
  <si>
    <t>@researcher_364</t>
  </si>
  <si>
    <t>P0204</t>
  </si>
  <si>
    <t>@researcher_669</t>
  </si>
  <si>
    <t>P0205</t>
  </si>
  <si>
    <t>P0206</t>
  </si>
  <si>
    <t>@researcher_901</t>
  </si>
  <si>
    <t>P0207</t>
  </si>
  <si>
    <t>@researcher_432</t>
  </si>
  <si>
    <t>P0208</t>
  </si>
  <si>
    <t>P0209</t>
  </si>
  <si>
    <t>P0210</t>
  </si>
  <si>
    <t>@researcher_325</t>
  </si>
  <si>
    <t>P0211</t>
  </si>
  <si>
    <t>@researcher_980</t>
  </si>
  <si>
    <t>P0212</t>
  </si>
  <si>
    <t>@researcher_299</t>
  </si>
  <si>
    <t>P0213</t>
  </si>
  <si>
    <t>@researcher_696</t>
  </si>
  <si>
    <t>P0214</t>
  </si>
  <si>
    <t>P0215</t>
  </si>
  <si>
    <t>@researcher_974</t>
  </si>
  <si>
    <t>P0216</t>
  </si>
  <si>
    <t>@researcher_167</t>
  </si>
  <si>
    <t>P0217</t>
  </si>
  <si>
    <t>@researcher_382</t>
  </si>
  <si>
    <t>P0218</t>
  </si>
  <si>
    <t>@researcher_280</t>
  </si>
  <si>
    <t>P0219</t>
  </si>
  <si>
    <t>@researcher_867</t>
  </si>
  <si>
    <t>P0220</t>
  </si>
  <si>
    <t>@researcher_283</t>
  </si>
  <si>
    <t>P0221</t>
  </si>
  <si>
    <t>@researcher_505</t>
  </si>
  <si>
    <t>P0222</t>
  </si>
  <si>
    <t>@researcher_822</t>
  </si>
  <si>
    <t>P0223</t>
  </si>
  <si>
    <t>@researcher_183</t>
  </si>
  <si>
    <t>P0224</t>
  </si>
  <si>
    <t>@researcher_954</t>
  </si>
  <si>
    <t>P0225</t>
  </si>
  <si>
    <t>@researcher_576</t>
  </si>
  <si>
    <t>P0226</t>
  </si>
  <si>
    <t>P0227</t>
  </si>
  <si>
    <t>@researcher_459</t>
  </si>
  <si>
    <t>P0228</t>
  </si>
  <si>
    <t>@researcher_215</t>
  </si>
  <si>
    <t>P0229</t>
  </si>
  <si>
    <t>@researcher_689</t>
  </si>
  <si>
    <t>P0230</t>
  </si>
  <si>
    <t>P0231</t>
  </si>
  <si>
    <t>@researcher_975</t>
  </si>
  <si>
    <t>P0232</t>
  </si>
  <si>
    <t>P0233</t>
  </si>
  <si>
    <t>@researcher_921</t>
  </si>
  <si>
    <t>P0234</t>
  </si>
  <si>
    <t>@researcher_518</t>
  </si>
  <si>
    <t>P0235</t>
  </si>
  <si>
    <t>@researcher_599</t>
  </si>
  <si>
    <t>P0236</t>
  </si>
  <si>
    <t>@researcher_756</t>
  </si>
  <si>
    <t>P0237</t>
  </si>
  <si>
    <t>@researcher_174</t>
  </si>
  <si>
    <t>P0238</t>
  </si>
  <si>
    <t>P0239</t>
  </si>
  <si>
    <t>@researcher_434</t>
  </si>
  <si>
    <t>P0240</t>
  </si>
  <si>
    <t>@researcher_605</t>
  </si>
  <si>
    <t>P0241</t>
  </si>
  <si>
    <t>@researcher_380</t>
  </si>
  <si>
    <t>P0242</t>
  </si>
  <si>
    <t>@researcher_239</t>
  </si>
  <si>
    <t>P0243</t>
  </si>
  <si>
    <t>@researcher_536</t>
  </si>
  <si>
    <t>P0244</t>
  </si>
  <si>
    <t>@researcher_521</t>
  </si>
  <si>
    <t>P0245</t>
  </si>
  <si>
    <t>@researcher_890</t>
  </si>
  <si>
    <t>P0246</t>
  </si>
  <si>
    <t>@researcher_369</t>
  </si>
  <si>
    <t>P0247</t>
  </si>
  <si>
    <t>@researcher_427</t>
  </si>
  <si>
    <t>P0248</t>
  </si>
  <si>
    <t>@researcher_785</t>
  </si>
  <si>
    <t>P0249</t>
  </si>
  <si>
    <t>@researcher_947</t>
  </si>
  <si>
    <t>P0250</t>
  </si>
  <si>
    <t>@researcher_731</t>
  </si>
  <si>
    <t>P0251</t>
  </si>
  <si>
    <t>@researcher_587</t>
  </si>
  <si>
    <t>P0252</t>
  </si>
  <si>
    <t>@researcher_885</t>
  </si>
  <si>
    <t>P0253</t>
  </si>
  <si>
    <t>@researcher_694</t>
  </si>
  <si>
    <t>P0254</t>
  </si>
  <si>
    <t>@researcher_461</t>
  </si>
  <si>
    <t>P0255</t>
  </si>
  <si>
    <t>@researcher_336</t>
  </si>
  <si>
    <t>P0256</t>
  </si>
  <si>
    <t>@researcher_310</t>
  </si>
  <si>
    <t>P0257</t>
  </si>
  <si>
    <t>P0258</t>
  </si>
  <si>
    <t>@researcher_594</t>
  </si>
  <si>
    <t>P0259</t>
  </si>
  <si>
    <t>@researcher_806</t>
  </si>
  <si>
    <t>P0260</t>
  </si>
  <si>
    <t>@researcher_788</t>
  </si>
  <si>
    <t>P0261</t>
  </si>
  <si>
    <t>@researcher_553</t>
  </si>
  <si>
    <t>P0262</t>
  </si>
  <si>
    <t>@researcher_304</t>
  </si>
  <si>
    <t>P0263</t>
  </si>
  <si>
    <t>@researcher_113</t>
  </si>
  <si>
    <t>P0264</t>
  </si>
  <si>
    <t>@researcher_924</t>
  </si>
  <si>
    <t>P0265</t>
  </si>
  <si>
    <t>@researcher_812</t>
  </si>
  <si>
    <t>P0266</t>
  </si>
  <si>
    <t>@researcher_566</t>
  </si>
  <si>
    <t>P0267</t>
  </si>
  <si>
    <t>@researcher_900</t>
  </si>
  <si>
    <t>P0268</t>
  </si>
  <si>
    <t>@researcher_253</t>
  </si>
  <si>
    <t>P0269</t>
  </si>
  <si>
    <t>@researcher_853</t>
  </si>
  <si>
    <t>P0270</t>
  </si>
  <si>
    <t>P0271</t>
  </si>
  <si>
    <t>P0272</t>
  </si>
  <si>
    <t>@researcher_666</t>
  </si>
  <si>
    <t>P0273</t>
  </si>
  <si>
    <t>@researcher_840</t>
  </si>
  <si>
    <t>P0274</t>
  </si>
  <si>
    <t>P0275</t>
  </si>
  <si>
    <t>P0276</t>
  </si>
  <si>
    <t>@researcher_322</t>
  </si>
  <si>
    <t>P0277</t>
  </si>
  <si>
    <t>@researcher_228</t>
  </si>
  <si>
    <t>P0278</t>
  </si>
  <si>
    <t>@researcher_647</t>
  </si>
  <si>
    <t>P0279</t>
  </si>
  <si>
    <t>P0280</t>
  </si>
  <si>
    <t>@researcher_340</t>
  </si>
  <si>
    <t>P0281</t>
  </si>
  <si>
    <t>P0282</t>
  </si>
  <si>
    <t>@researcher_261</t>
  </si>
  <si>
    <t>P0283</t>
  </si>
  <si>
    <t>@researcher_512</t>
  </si>
  <si>
    <t>P0284</t>
  </si>
  <si>
    <t>P0285</t>
  </si>
  <si>
    <t>@researcher_989</t>
  </si>
  <si>
    <t>P0286</t>
  </si>
  <si>
    <t>P0287</t>
  </si>
  <si>
    <t>@researcher_827</t>
  </si>
  <si>
    <t>P0288</t>
  </si>
  <si>
    <t>@researcher_525</t>
  </si>
  <si>
    <t>P0289</t>
  </si>
  <si>
    <t>@researcher_445</t>
  </si>
  <si>
    <t>P0290</t>
  </si>
  <si>
    <t>P0291</t>
  </si>
  <si>
    <t>@researcher_492</t>
  </si>
  <si>
    <t>P0292</t>
  </si>
  <si>
    <t>@researcher_763</t>
  </si>
  <si>
    <t>P0293</t>
  </si>
  <si>
    <t>@researcher_374</t>
  </si>
  <si>
    <t>P0294</t>
  </si>
  <si>
    <t>P0295</t>
  </si>
  <si>
    <t>P0296</t>
  </si>
  <si>
    <t>@researcher_396</t>
  </si>
  <si>
    <t>P0297</t>
  </si>
  <si>
    <t>P0298</t>
  </si>
  <si>
    <t>P0299</t>
  </si>
  <si>
    <t>@researcher_776</t>
  </si>
  <si>
    <t>P0300</t>
  </si>
  <si>
    <t>@researcher_146</t>
  </si>
  <si>
    <t>P0301</t>
  </si>
  <si>
    <t>@researcher_946</t>
  </si>
  <si>
    <t>P0302</t>
  </si>
  <si>
    <t>@researcher_676</t>
  </si>
  <si>
    <t>P0303</t>
  </si>
  <si>
    <t>@researcher_306</t>
  </si>
  <si>
    <t>P0304</t>
  </si>
  <si>
    <t>P0305</t>
  </si>
  <si>
    <t>@researcher_564</t>
  </si>
  <si>
    <t>P0306</t>
  </si>
  <si>
    <t>P0307</t>
  </si>
  <si>
    <t>@researcher_699</t>
  </si>
  <si>
    <t>P0308</t>
  </si>
  <si>
    <t>@researcher_501</t>
  </si>
  <si>
    <t>P0309</t>
  </si>
  <si>
    <t>@researcher_562</t>
  </si>
  <si>
    <t>P0310</t>
  </si>
  <si>
    <t>P0311</t>
  </si>
  <si>
    <t>P0312</t>
  </si>
  <si>
    <t>@researcher_608</t>
  </si>
  <si>
    <t>P0313</t>
  </si>
  <si>
    <t>@researcher_202</t>
  </si>
  <si>
    <t>P0314</t>
  </si>
  <si>
    <t>P0315</t>
  </si>
  <si>
    <t>@researcher_231</t>
  </si>
  <si>
    <t>P0316</t>
  </si>
  <si>
    <t>@researcher_230</t>
  </si>
  <si>
    <t>P0317</t>
  </si>
  <si>
    <t>@researcher_305</t>
  </si>
  <si>
    <t>P0318</t>
  </si>
  <si>
    <t>P0319</t>
  </si>
  <si>
    <t>@researcher_682</t>
  </si>
  <si>
    <t>P0320</t>
  </si>
  <si>
    <t>@researcher_627</t>
  </si>
  <si>
    <t>P0321</t>
  </si>
  <si>
    <t>@researcher_945</t>
  </si>
  <si>
    <t>P0322</t>
  </si>
  <si>
    <t>@researcher_447</t>
  </si>
  <si>
    <t>P0323</t>
  </si>
  <si>
    <t>@researcher_378</t>
  </si>
  <si>
    <t>P0324</t>
  </si>
  <si>
    <t>@researcher_743</t>
  </si>
  <si>
    <t>P0325</t>
  </si>
  <si>
    <t>@researcher_733</t>
  </si>
  <si>
    <t>P0326</t>
  </si>
  <si>
    <t>@researcher_194</t>
  </si>
  <si>
    <t>P0327</t>
  </si>
  <si>
    <t>@researcher_550</t>
  </si>
  <si>
    <t>P0328</t>
  </si>
  <si>
    <t>P0329</t>
  </si>
  <si>
    <t>@researcher_882</t>
  </si>
  <si>
    <t>P0330</t>
  </si>
  <si>
    <t>@researcher_223</t>
  </si>
  <si>
    <t>P0331</t>
  </si>
  <si>
    <t>P0332</t>
  </si>
  <si>
    <t>@researcher_138</t>
  </si>
  <si>
    <t>P0333</t>
  </si>
  <si>
    <t>@researcher_426</t>
  </si>
  <si>
    <t>P0334</t>
  </si>
  <si>
    <t>@researcher_589</t>
  </si>
  <si>
    <t>P0335</t>
  </si>
  <si>
    <t>@researcher_646</t>
  </si>
  <si>
    <t>P0336</t>
  </si>
  <si>
    <t>P0337</t>
  </si>
  <si>
    <t>@researcher_636</t>
  </si>
  <si>
    <t>P0338</t>
  </si>
  <si>
    <t>P0339</t>
  </si>
  <si>
    <t>@researcher_856</t>
  </si>
  <si>
    <t>P0340</t>
  </si>
  <si>
    <t>P0341</t>
  </si>
  <si>
    <t>P0342</t>
  </si>
  <si>
    <t>@researcher_323</t>
  </si>
  <si>
    <t>P0343</t>
  </si>
  <si>
    <t>@researcher_603</t>
  </si>
  <si>
    <t>P0344</t>
  </si>
  <si>
    <t>@researcher_448</t>
  </si>
  <si>
    <t>P0345</t>
  </si>
  <si>
    <t>@researcher_149</t>
  </si>
  <si>
    <t>P0346</t>
  </si>
  <si>
    <t>@researcher_145</t>
  </si>
  <si>
    <t>P0347</t>
  </si>
  <si>
    <t>@researcher_846</t>
  </si>
  <si>
    <t>P0348</t>
  </si>
  <si>
    <t>@researcher_611</t>
  </si>
  <si>
    <t>P0349</t>
  </si>
  <si>
    <t>@researcher_847</t>
  </si>
  <si>
    <t>P0350</t>
  </si>
  <si>
    <t>@researcher_318</t>
  </si>
  <si>
    <t>P0351</t>
  </si>
  <si>
    <t>@researcher_477</t>
  </si>
  <si>
    <t>P0352</t>
  </si>
  <si>
    <t>@researcher_407</t>
  </si>
  <si>
    <t>P0353</t>
  </si>
  <si>
    <t>P0354</t>
  </si>
  <si>
    <t>P0355</t>
  </si>
  <si>
    <t>@researcher_131</t>
  </si>
  <si>
    <t>P0356</t>
  </si>
  <si>
    <t>@researcher_465</t>
  </si>
  <si>
    <t>P0357</t>
  </si>
  <si>
    <t>@researcher_495</t>
  </si>
  <si>
    <t>P0358</t>
  </si>
  <si>
    <t>@researcher_657</t>
  </si>
  <si>
    <t>P0359</t>
  </si>
  <si>
    <t>@researcher_114</t>
  </si>
  <si>
    <t>P0360</t>
  </si>
  <si>
    <t>@researcher_105</t>
  </si>
  <si>
    <t>P0361</t>
  </si>
  <si>
    <t>@researcher_117</t>
  </si>
  <si>
    <t>P0362</t>
  </si>
  <si>
    <t>@researcher_851</t>
  </si>
  <si>
    <t>P0363</t>
  </si>
  <si>
    <t>@researcher_469</t>
  </si>
  <si>
    <t>P0364</t>
  </si>
  <si>
    <t>@researcher_234</t>
  </si>
  <si>
    <t>P0365</t>
  </si>
  <si>
    <t>P0366</t>
  </si>
  <si>
    <t>P0367</t>
  </si>
  <si>
    <t>P0368</t>
  </si>
  <si>
    <t>@researcher_401</t>
  </si>
  <si>
    <t>P0369</t>
  </si>
  <si>
    <t>@researcher_625</t>
  </si>
  <si>
    <t>P0370</t>
  </si>
  <si>
    <t>@researcher_185</t>
  </si>
  <si>
    <t>P0371</t>
  </si>
  <si>
    <t>@researcher_808</t>
  </si>
  <si>
    <t>P0372</t>
  </si>
  <si>
    <t>@researcher_526</t>
  </si>
  <si>
    <t>P0373</t>
  </si>
  <si>
    <t>@researcher_877</t>
  </si>
  <si>
    <t>P0374</t>
  </si>
  <si>
    <t>@researcher_387</t>
  </si>
  <si>
    <t>P0375</t>
  </si>
  <si>
    <t>@researcher_460</t>
  </si>
  <si>
    <t>P0376</t>
  </si>
  <si>
    <t>@researcher_406</t>
  </si>
  <si>
    <t>P0377</t>
  </si>
  <si>
    <t>@researcher_880</t>
  </si>
  <si>
    <t>P0378</t>
  </si>
  <si>
    <t>@researcher_483</t>
  </si>
  <si>
    <t>P0379</t>
  </si>
  <si>
    <t>@researcher_487</t>
  </si>
  <si>
    <t>P0380</t>
  </si>
  <si>
    <t>@researcher_147</t>
  </si>
  <si>
    <t>P0381</t>
  </si>
  <si>
    <t>P0382</t>
  </si>
  <si>
    <t>P0383</t>
  </si>
  <si>
    <t>P0384</t>
  </si>
  <si>
    <t>@researcher_217</t>
  </si>
  <si>
    <t>P0385</t>
  </si>
  <si>
    <t>P0386</t>
  </si>
  <si>
    <t>@researcher_259</t>
  </si>
  <si>
    <t>P0387</t>
  </si>
  <si>
    <t>@researcher_143</t>
  </si>
</sst>
</file>

<file path=xl/styles.xml><?xml version="1.0" encoding="utf-8"?>
<styleSheet xmlns="http://schemas.openxmlformats.org/spreadsheetml/2006/main">
  <numFmts count="2">
    <numFmt numFmtId="164" formatCode="+0&quot; pts&quot;;-0&quot; pts&quot;;0&quot; pts&quot;"/>
    <numFmt numFmtId="165" formatCode="0.0%"/>
  </numFmts>
  <fonts count="12"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1B1F3B"/>
      <name val="Calibri"/>
      <family val="2"/>
    </font>
    <font>
      <sz val="11"/>
      <color rgb="FF8A8FA3"/>
      <name val="Calibri"/>
      <family val="2"/>
    </font>
    <font>
      <i/>
      <sz val="11"/>
      <color rgb="FF8A8FA3"/>
      <name val="Calibri"/>
      <family val="2"/>
    </font>
    <font>
      <sz val="11"/>
      <color rgb="FFFFFFFF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rgb="FF1B1F3B"/>
      <name val="Calibri"/>
      <family val="2"/>
    </font>
    <font>
      <sz val="11"/>
      <color rgb="FFFF6B4A"/>
      <name val="Calibri"/>
      <family val="2"/>
    </font>
    <font>
      <sz val="13"/>
      <color rgb="FFFF6B4A"/>
      <name val="Calibri"/>
      <family val="2"/>
    </font>
  </fonts>
  <fills count="4">
    <fill>
      <patternFill patternType="none"/>
    </fill>
    <fill>
      <patternFill patternType="gray125">
        <bgColor indexed="64"/>
      </patternFill>
    </fill>
    <fill>
      <patternFill patternType="solid">
        <fgColor rgb="FF1B1F3B"/>
        <bgColor indexed="64"/>
      </patternFill>
    </fill>
    <fill>
      <patternFill patternType="solid">
        <fgColor rgb="FFF7F4E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B1F3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2" borderId="0" xfId="0" applyFont="1" applyFill="1"/>
    <xf numFmtId="0" fontId="0" fillId="3" borderId="0" xfId="0" applyFill="1"/>
    <xf numFmtId="0" fontId="0" fillId="3" borderId="1" xfId="0" applyFill="1" applyBorder="1"/>
    <xf numFmtId="0" fontId="6" fillId="2" borderId="0" xfId="0" applyFont="1" applyFill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9" fontId="0" fillId="0" borderId="0" xfId="0" applyNumberFormat="1"/>
    <xf numFmtId="9" fontId="0" fillId="3" borderId="1" xfId="0" applyNumberFormat="1" applyFill="1" applyBorder="1"/>
    <xf numFmtId="164" fontId="0" fillId="0" borderId="0" xfId="0" applyNumberFormat="1"/>
    <xf numFmtId="165" fontId="0" fillId="0" borderId="0" xfId="0" applyNumberFormat="1"/>
    <xf numFmtId="165" fontId="0" fillId="3" borderId="1" xfId="0" applyNumberFormat="1" applyFill="1" applyBorder="1"/>
    <xf numFmtId="9" fontId="4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Share of the conversation: 4 key themes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Summary!$B$36</c:f>
              <c:strCache>
                <c:ptCount val="1"/>
                <c:pt idx="0">
                  <c:v>Agentic coding</c:v>
                </c:pt>
              </c:strCache>
            </c:strRef>
          </c:tx>
          <c:spPr>
            <a:ln w="28575" cap="rnd">
              <a:solidFill>
                <a:srgbClr val="FF6B4A"/>
              </a:solidFill>
              <a:round/>
            </a:ln>
          </c:spPr>
          <c:cat>
            <c:strRef>
              <c:f>Summary!$A$37:$A$45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Summary!$B$37:$B$45</c:f>
              <c:numCache>
                <c:formatCode>General</c:formatCode>
                <c:ptCount val="9"/>
                <c:pt idx="0">
                  <c:v>0.09090909090909091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0.15</c:v>
                </c:pt>
                <c:pt idx="4">
                  <c:v>0.13636363636363635</c:v>
                </c:pt>
                <c:pt idx="5">
                  <c:v>0.17391304347826086</c:v>
                </c:pt>
                <c:pt idx="6">
                  <c:v>0.16</c:v>
                </c:pt>
                <c:pt idx="7">
                  <c:v>0.18</c:v>
                </c:pt>
                <c:pt idx="8">
                  <c:v>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Summary!$C$36</c:f>
              <c:strCache>
                <c:ptCount val="1"/>
                <c:pt idx="0">
                  <c:v>Reasoning &amp; test-time compute</c:v>
                </c:pt>
              </c:strCache>
            </c:strRef>
          </c:tx>
          <c:spPr>
            <a:ln w="28575" cap="rnd">
              <a:solidFill>
                <a:srgbClr val="7A5CFA"/>
              </a:solidFill>
              <a:round/>
            </a:ln>
          </c:spPr>
          <c:cat>
            <c:strRef>
              <c:f>Summary!$A$37:$A$45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Summary!$C$37:$C$45</c:f>
              <c:numCache>
                <c:formatCode>General</c:formatCode>
                <c:ptCount val="9"/>
                <c:pt idx="0">
                  <c:v>0.18181818181818182</c:v>
                </c:pt>
                <c:pt idx="1">
                  <c:v>0.16666666666666666</c:v>
                </c:pt>
                <c:pt idx="2">
                  <c:v>0.13157894736842105</c:v>
                </c:pt>
                <c:pt idx="3">
                  <c:v>0.1</c:v>
                </c:pt>
                <c:pt idx="4">
                  <c:v>0.09090909090909091</c:v>
                </c:pt>
                <c:pt idx="5">
                  <c:v>0.08695652173913043</c:v>
                </c:pt>
                <c:pt idx="6">
                  <c:v>0.08</c:v>
                </c:pt>
                <c:pt idx="7">
                  <c:v>0.08</c:v>
                </c:pt>
                <c:pt idx="8">
                  <c:v>0.06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Summary!$D$36</c:f>
              <c:strCache>
                <c:ptCount val="1"/>
                <c:pt idx="0">
                  <c:v>Benchmarks &amp; evals</c:v>
                </c:pt>
              </c:strCache>
            </c:strRef>
          </c:tx>
          <c:spPr>
            <a:ln w="28575" cap="rnd">
              <a:solidFill>
                <a:srgbClr val="E58FB0"/>
              </a:solidFill>
              <a:round/>
            </a:ln>
          </c:spPr>
          <c:cat>
            <c:strRef>
              <c:f>Summary!$A$37:$A$45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Summary!$D$37:$D$45</c:f>
              <c:numCache>
                <c:formatCode>General</c:formatCode>
                <c:ptCount val="9"/>
                <c:pt idx="0">
                  <c:v>0.12121212121212122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</c:v>
                </c:pt>
                <c:pt idx="4">
                  <c:v>0.09090909090909091</c:v>
                </c:pt>
                <c:pt idx="5">
                  <c:v>0.06521739130434782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Summary!$E$36</c:f>
              <c:strCache>
                <c:ptCount val="1"/>
                <c:pt idx="0">
                  <c:v>Compute &amp; energy</c:v>
                </c:pt>
              </c:strCache>
            </c:strRef>
          </c:tx>
          <c:spPr>
            <a:ln w="28575" cap="rnd">
              <a:solidFill>
                <a:srgbClr val="2BB3A3"/>
              </a:solidFill>
              <a:round/>
            </a:ln>
          </c:spPr>
          <c:cat>
            <c:strRef>
              <c:f>Summary!$A$37:$A$45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Summary!$E$37:$E$45</c:f>
              <c:numCache>
                <c:formatCode>General</c:formatCode>
                <c:ptCount val="9"/>
                <c:pt idx="0">
                  <c:v>0.09090909090909091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</c:v>
                </c:pt>
                <c:pt idx="4">
                  <c:v>0.09090909090909091</c:v>
                </c:pt>
                <c:pt idx="5">
                  <c:v>0.10869565217391304</c:v>
                </c:pt>
                <c:pt idx="6">
                  <c:v>0.1</c:v>
                </c:pt>
                <c:pt idx="7">
                  <c:v>0.12</c:v>
                </c:pt>
                <c:pt idx="8">
                  <c:v>0.12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% of that month's posts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Theme mix by month (100% = all LLM posts that month)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Agentic coding</c:v>
                </c:pt>
              </c:strCache>
            </c:strRef>
          </c:tx>
          <c:spPr>
            <a:solidFill>
              <a:srgbClr val="FF6B4A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Summary!$B$6:$B$14</c:f>
              <c:numCache>
                <c:formatCode>General</c:formatCode>
                <c:ptCount val="9"/>
                <c:pt idx="0">
                  <c:v>0.09090909090909091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0.15</c:v>
                </c:pt>
                <c:pt idx="4">
                  <c:v>0.13636363636363635</c:v>
                </c:pt>
                <c:pt idx="5">
                  <c:v>0.17391304347826086</c:v>
                </c:pt>
                <c:pt idx="6">
                  <c:v>0.16</c:v>
                </c:pt>
                <c:pt idx="7">
                  <c:v>0.18</c:v>
                </c:pt>
                <c:pt idx="8">
                  <c:v>0.2</c:v>
                </c:pt>
              </c:numCache>
            </c:numRef>
          </c:val>
        </c:ser>
        <c:ser>
          <c:idx val="1"/>
          <c:order val="1"/>
          <c:tx>
            <c:strRef>
              <c:f>Summary!$C$5</c:f>
              <c:strCache>
                <c:ptCount val="1"/>
                <c:pt idx="0">
                  <c:v>Open-weight models</c:v>
                </c:pt>
              </c:strCache>
            </c:strRef>
          </c:tx>
          <c:spPr>
            <a:solidFill>
              <a:srgbClr val="9BCB6B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Summary!$C$6:$C$14</c:f>
              <c:numCache>
                <c:formatCode>General</c:formatCode>
                <c:ptCount val="9"/>
                <c:pt idx="0">
                  <c:v>0.12121212121212122</c:v>
                </c:pt>
                <c:pt idx="1">
                  <c:v>0.1111111111111111</c:v>
                </c:pt>
                <c:pt idx="2">
                  <c:v>0.13157894736842105</c:v>
                </c:pt>
                <c:pt idx="3">
                  <c:v>0.15</c:v>
                </c:pt>
                <c:pt idx="4">
                  <c:v>0.13636363636363635</c:v>
                </c:pt>
                <c:pt idx="5">
                  <c:v>0.10869565217391304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</c:numCache>
            </c:numRef>
          </c:val>
        </c:ser>
        <c:ser>
          <c:idx val="2"/>
          <c:order val="2"/>
          <c:tx>
            <c:strRef>
              <c:f>Summary!$D$5</c:f>
              <c:strCache>
                <c:ptCount val="1"/>
                <c:pt idx="0">
                  <c:v>Reasoning &amp; test-time compute</c:v>
                </c:pt>
              </c:strCache>
            </c:strRef>
          </c:tx>
          <c:spPr>
            <a:solidFill>
              <a:srgbClr val="7A5CFA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Summary!$D$6:$D$14</c:f>
              <c:numCache>
                <c:formatCode>General</c:formatCode>
                <c:ptCount val="9"/>
                <c:pt idx="0">
                  <c:v>0.18181818181818182</c:v>
                </c:pt>
                <c:pt idx="1">
                  <c:v>0.16666666666666666</c:v>
                </c:pt>
                <c:pt idx="2">
                  <c:v>0.13157894736842105</c:v>
                </c:pt>
                <c:pt idx="3">
                  <c:v>0.1</c:v>
                </c:pt>
                <c:pt idx="4">
                  <c:v>0.09090909090909091</c:v>
                </c:pt>
                <c:pt idx="5">
                  <c:v>0.08695652173913043</c:v>
                </c:pt>
                <c:pt idx="6">
                  <c:v>0.08</c:v>
                </c:pt>
                <c:pt idx="7">
                  <c:v>0.08</c:v>
                </c:pt>
                <c:pt idx="8">
                  <c:v>0.06</c:v>
                </c:pt>
              </c:numCache>
            </c:numRef>
          </c:val>
        </c:ser>
        <c:ser>
          <c:idx val="3"/>
          <c:order val="3"/>
          <c:tx>
            <c:strRef>
              <c:f>Summary!$E$5</c:f>
              <c:strCache>
                <c:ptCount val="1"/>
                <c:pt idx="0">
                  <c:v>Prices &amp; tokens</c:v>
                </c:pt>
              </c:strCache>
            </c:strRef>
          </c:tx>
          <c:spPr>
            <a:solidFill>
              <a:srgbClr val="F2B134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Summary!$E$6:$E$14</c:f>
              <c:numCache>
                <c:formatCode>General</c:formatCode>
                <c:ptCount val="9"/>
                <c:pt idx="0">
                  <c:v>0.12121212121212122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</c:v>
                </c:pt>
                <c:pt idx="4">
                  <c:v>0.09090909090909091</c:v>
                </c:pt>
                <c:pt idx="5">
                  <c:v>0.08695652173913043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</c:numCache>
            </c:numRef>
          </c:val>
        </c:ser>
        <c:ser>
          <c:idx val="4"/>
          <c:order val="4"/>
          <c:tx>
            <c:strRef>
              <c:f>Summary!$F$5</c:f>
              <c:strCache>
                <c:ptCount val="1"/>
                <c:pt idx="0">
                  <c:v>On-device AI</c:v>
                </c:pt>
              </c:strCache>
            </c:strRef>
          </c:tx>
          <c:spPr>
            <a:solidFill>
              <a:srgbClr val="4AA3FF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Summary!$F$6:$F$14</c:f>
              <c:numCache>
                <c:formatCode>General</c:formatCode>
                <c:ptCount val="9"/>
                <c:pt idx="0">
                  <c:v>0.06060606060606061</c:v>
                </c:pt>
                <c:pt idx="1">
                  <c:v>0.05555555555555555</c:v>
                </c:pt>
                <c:pt idx="2">
                  <c:v>0.05263157894736842</c:v>
                </c:pt>
                <c:pt idx="3">
                  <c:v>0.05</c:v>
                </c:pt>
                <c:pt idx="4">
                  <c:v>0.06818181818181818</c:v>
                </c:pt>
                <c:pt idx="5">
                  <c:v>0.08695652173913043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</c:numCache>
            </c:numRef>
          </c:val>
        </c:ser>
        <c:ser>
          <c:idx val="5"/>
          <c:order val="5"/>
          <c:tx>
            <c:strRef>
              <c:f>Summary!$G$5</c:f>
              <c:strCache>
                <c:ptCount val="1"/>
                <c:pt idx="0">
                  <c:v>Regulation &amp; policy</c:v>
                </c:pt>
              </c:strCache>
            </c:strRef>
          </c:tx>
          <c:spPr>
            <a:solidFill>
              <a:srgbClr val="1B1F3B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Summary!$G$6:$G$14</c:f>
              <c:numCache>
                <c:formatCode>General</c:formatCode>
                <c:ptCount val="9"/>
                <c:pt idx="0">
                  <c:v>0.06060606060606061</c:v>
                </c:pt>
                <c:pt idx="1">
                  <c:v>0.05555555555555555</c:v>
                </c:pt>
                <c:pt idx="2">
                  <c:v>0.07894736842105263</c:v>
                </c:pt>
                <c:pt idx="3">
                  <c:v>0.075</c:v>
                </c:pt>
                <c:pt idx="4">
                  <c:v>0.09090909090909091</c:v>
                </c:pt>
                <c:pt idx="5">
                  <c:v>0.08695652173913043</c:v>
                </c:pt>
                <c:pt idx="6">
                  <c:v>0.12</c:v>
                </c:pt>
                <c:pt idx="7">
                  <c:v>0.08</c:v>
                </c:pt>
                <c:pt idx="8">
                  <c:v>0.08</c:v>
                </c:pt>
              </c:numCache>
            </c:numRef>
          </c:val>
        </c:ser>
        <c:ser>
          <c:idx val="6"/>
          <c:order val="6"/>
          <c:tx>
            <c:strRef>
              <c:f>Summary!$H$5</c:f>
              <c:strCache>
                <c:ptCount val="1"/>
                <c:pt idx="0">
                  <c:v>Benchmarks &amp; evals</c:v>
                </c:pt>
              </c:strCache>
            </c:strRef>
          </c:tx>
          <c:spPr>
            <a:solidFill>
              <a:srgbClr val="E58FB0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Summary!$H$6:$H$14</c:f>
              <c:numCache>
                <c:formatCode>General</c:formatCode>
                <c:ptCount val="9"/>
                <c:pt idx="0">
                  <c:v>0.12121212121212122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</c:v>
                </c:pt>
                <c:pt idx="4">
                  <c:v>0.09090909090909091</c:v>
                </c:pt>
                <c:pt idx="5">
                  <c:v>0.06521739130434782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</c:numCache>
            </c:numRef>
          </c:val>
        </c:ser>
        <c:ser>
          <c:idx val="7"/>
          <c:order val="7"/>
          <c:tx>
            <c:strRef>
              <c:f>Summary!$I$5</c:f>
              <c:strCache>
                <c:ptCount val="1"/>
                <c:pt idx="0">
                  <c:v>Compute &amp; energy</c:v>
                </c:pt>
              </c:strCache>
            </c:strRef>
          </c:tx>
          <c:spPr>
            <a:solidFill>
              <a:srgbClr val="2BB3A3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Summary!$I$6:$I$14</c:f>
              <c:numCache>
                <c:formatCode>General</c:formatCode>
                <c:ptCount val="9"/>
                <c:pt idx="0">
                  <c:v>0.09090909090909091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</c:v>
                </c:pt>
                <c:pt idx="4">
                  <c:v>0.09090909090909091</c:v>
                </c:pt>
                <c:pt idx="5">
                  <c:v>0.10869565217391304</c:v>
                </c:pt>
                <c:pt idx="6">
                  <c:v>0.1</c:v>
                </c:pt>
                <c:pt idx="7">
                  <c:v>0.12</c:v>
                </c:pt>
                <c:pt idx="8">
                  <c:v>0.12</c:v>
                </c:pt>
              </c:numCache>
            </c:numRef>
          </c:val>
        </c:ser>
        <c:ser>
          <c:idx val="8"/>
          <c:order val="8"/>
          <c:tx>
            <c:strRef>
              <c:f>Summary!$J$5</c:f>
              <c:strCache>
                <c:ptCount val="1"/>
                <c:pt idx="0">
                  <c:v>Multimodal &amp; voice</c:v>
                </c:pt>
              </c:strCache>
            </c:strRef>
          </c:tx>
          <c:spPr>
            <a:solidFill>
              <a:srgbClr val="8A8FA3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Summary!$J$6:$J$14</c:f>
              <c:numCache>
                <c:formatCode>General</c:formatCode>
                <c:ptCount val="9"/>
                <c:pt idx="0">
                  <c:v>0.09090909090909091</c:v>
                </c:pt>
                <c:pt idx="1">
                  <c:v>0.1111111111111111</c:v>
                </c:pt>
                <c:pt idx="2">
                  <c:v>0.10526315789473684</c:v>
                </c:pt>
                <c:pt idx="3">
                  <c:v>0.1</c:v>
                </c:pt>
                <c:pt idx="4">
                  <c:v>0.11363636363636363</c:v>
                </c:pt>
                <c:pt idx="5">
                  <c:v>0.10869565217391304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</c:numCache>
            </c:numRef>
          </c:val>
        </c:ser>
        <c:ser>
          <c:idx val="9"/>
          <c:order val="9"/>
          <c:tx>
            <c:strRef>
              <c:f>Summary!$K$5</c:f>
              <c:strCache>
                <c:ptCount val="1"/>
                <c:pt idx="0">
                  <c:v>Safety &amp; trust</c:v>
                </c:pt>
              </c:strCache>
            </c:strRef>
          </c:tx>
          <c:spPr>
            <a:solidFill>
              <a:srgbClr val="C9A27E"/>
            </a:solidFill>
          </c:spPr>
          <c:invertIfNegative val="0"/>
          <c:cat>
            <c:strRef>
              <c:f>Summary!$A$6:$A$14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Summary!$K$6:$K$14</c:f>
              <c:numCache>
                <c:formatCode>General</c:formatCode>
                <c:ptCount val="9"/>
                <c:pt idx="0">
                  <c:v>0.06060606060606061</c:v>
                </c:pt>
                <c:pt idx="1">
                  <c:v>0.05555555555555555</c:v>
                </c:pt>
                <c:pt idx="2">
                  <c:v>0.07894736842105263</c:v>
                </c:pt>
                <c:pt idx="3">
                  <c:v>0.075</c:v>
                </c:pt>
                <c:pt idx="4">
                  <c:v>0.09090909090909091</c:v>
                </c:pt>
                <c:pt idx="5">
                  <c:v>0.08695652173913043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% of each theme's posts that are negative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Summary!$H$36</c:f>
              <c:strCache>
                <c:ptCount val="1"/>
                <c:pt idx="0">
                  <c:v>% negative</c:v>
                </c:pt>
              </c:strCache>
            </c:strRef>
          </c:tx>
          <c:spPr>
            <a:solidFill>
              <a:srgbClr val="FF6B4A"/>
            </a:solidFill>
          </c:spPr>
          <c:invertIfNegative val="0"/>
          <c:cat>
            <c:strRef>
              <c:f>Summary!$G$37:$G$47</c:f>
              <c:strCache>
                <c:ptCount val="11"/>
                <c:pt idx="0">
                  <c:v>Benchmarks &amp; evals</c:v>
                </c:pt>
                <c:pt idx="1">
                  <c:v>Agentic coding</c:v>
                </c:pt>
                <c:pt idx="2">
                  <c:v>Reasoning &amp; test-time compute</c:v>
                </c:pt>
                <c:pt idx="3">
                  <c:v>Regulation &amp; policy</c:v>
                </c:pt>
                <c:pt idx="4">
                  <c:v>Multimodal &amp; voice</c:v>
                </c:pt>
                <c:pt idx="5">
                  <c:v>Open-weight models</c:v>
                </c:pt>
                <c:pt idx="6">
                  <c:v>On-device AI</c:v>
                </c:pt>
                <c:pt idx="7">
                  <c:v>Average, all themes</c:v>
                </c:pt>
                <c:pt idx="8">
                  <c:v>Compute &amp; energy</c:v>
                </c:pt>
                <c:pt idx="9">
                  <c:v>Safety &amp; trust</c:v>
                </c:pt>
                <c:pt idx="10">
                  <c:v>Prices &amp; tokens</c:v>
                </c:pt>
              </c:strCache>
            </c:strRef>
          </c:cat>
          <c:val>
            <c:numRef>
              <c:f>Summary!$H$37:$H$47</c:f>
              <c:numCache>
                <c:formatCode>General</c:formatCode>
                <c:ptCount val="11"/>
                <c:pt idx="0">
                  <c:v>0.03125</c:v>
                </c:pt>
                <c:pt idx="1">
                  <c:v>0.10344827586206896</c:v>
                </c:pt>
                <c:pt idx="2">
                  <c:v>0.125</c:v>
                </c:pt>
                <c:pt idx="3">
                  <c:v>0.125</c:v>
                </c:pt>
                <c:pt idx="4">
                  <c:v>0.18604651162790697</c:v>
                </c:pt>
                <c:pt idx="5">
                  <c:v>0.20833333333333334</c:v>
                </c:pt>
                <c:pt idx="6">
                  <c:v>0.2222222222222222</c:v>
                </c:pt>
                <c:pt idx="7">
                  <c:v>0.23255813953488372</c:v>
                </c:pt>
                <c:pt idx="8">
                  <c:v>0.4146341463414634</c:v>
                </c:pt>
                <c:pt idx="9">
                  <c:v>0.4666666666666667</c:v>
                </c:pt>
                <c:pt idx="10">
                  <c:v>0.5277777777777778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12</xdr:col>
      <xdr:colOff>0</xdr:colOff>
      <xdr:row>3</xdr:row>
      <xdr:rowOff>0</xdr:rowOff>
    </xdr:from>
    <xdr:to>
      <xdr:col>22</xdr:col>
      <xdr:colOff>0</xdr:colOff>
      <xdr:row>15</xdr:row>
      <xdr:rowOff>136814</xdr:rowOff>
    </xdr:to>
    <xdr:graphicFrame macro="">
      <xdr:nvGraphicFramePr>
        <xdr:cNvPr id="2" name="Chart 1"/>
        <xdr:cNvGraphicFramePr/>
      </xdr:nvGraphicFramePr>
      <xdr:xfrm>
        <a:off x="0" y="0"/>
        <a:ext cx="6096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6096000" cy="30480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12</xdr:col>
      <xdr:colOff>0</xdr:colOff>
      <xdr:row>47</xdr:row>
      <xdr:rowOff>0</xdr:rowOff>
    </xdr:from>
    <xdr:to>
      <xdr:col>22</xdr:col>
      <xdr:colOff>0</xdr:colOff>
      <xdr:row>63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6096000" cy="314325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388" totalsRowShown="0">
  <autoFilter ref="A1:K388"/>
  <tableColumns count="11">
    <tableColumn id="1" name="post_id"/>
    <tableColumn id="2" name="date"/>
    <tableColumn id="3" name="month"/>
    <tableColumn id="4" name="platform"/>
    <tableColumn id="5" name="author"/>
    <tableColumn id="6" name="theme"/>
    <tableColumn id="7" name="sentiment"/>
    <tableColumn id="8" name="likes"/>
    <tableColumn id="9" name="reposts"/>
    <tableColumn id="10" name="replies"/>
    <tableColumn id="11" name="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6B4A"/>
    <pageSetUpPr fitToPage="1"/>
  </sheetPr>
  <dimension ref="A1:K47"/>
  <sheetViews>
    <sheetView tabSelected="1" workbookViewId="0">
      <selection activeCell="A1" sqref="A1"/>
    </sheetView>
  </sheetViews>
  <sheetFormatPr defaultRowHeight="15"/>
  <cols>
    <col min="1" max="1" width="29.7109375" customWidth="1"/>
    <col min="2" max="11" width="12.7109375" customWidth="1"/>
  </cols>
  <sheetData>
    <row r="1" ht="27.27">
      <c r="A1" s="14" t="s">
        <v>0</v>
      </c>
    </row>
    <row r="2">
      <c r="A2" s="6" t="s">
        <v>1</v>
      </c>
    </row>
    <row r="4" ht="17.73">
      <c r="A4" s="16" t="s">
        <v>2</v>
      </c>
    </row>
    <row r="5" ht="46.5" customHeight="1">
      <c r="A5" s="8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</row>
    <row r="6">
      <c r="A6" t="s">
        <v>14</v>
      </c>
      <c r="B6" s="17">
        <f>Counts!B6/Counts!$L6</f>
        <v>0.09090909090909091</v>
      </c>
      <c r="C6" s="17">
        <f>Counts!C6/Counts!$L6</f>
        <v>0.12121212121212122</v>
      </c>
      <c r="D6" s="17">
        <f>Counts!D6/Counts!$L6</f>
        <v>0.18181818181818182</v>
      </c>
      <c r="E6" s="17">
        <f>Counts!E6/Counts!$L6</f>
        <v>0.12121212121212122</v>
      </c>
      <c r="F6" s="17">
        <f>Counts!F6/Counts!$L6</f>
        <v>0.06060606060606061</v>
      </c>
      <c r="G6" s="17">
        <f>Counts!G6/Counts!$L6</f>
        <v>0.06060606060606061</v>
      </c>
      <c r="H6" s="17">
        <f>Counts!H6/Counts!$L6</f>
        <v>0.12121212121212122</v>
      </c>
      <c r="I6" s="17">
        <f>Counts!I6/Counts!$L6</f>
        <v>0.09090909090909091</v>
      </c>
      <c r="J6" s="17">
        <f>Counts!J6/Counts!$L6</f>
        <v>0.09090909090909091</v>
      </c>
      <c r="K6" s="17">
        <f>Counts!K6/Counts!$L6</f>
        <v>0.06060606060606061</v>
      </c>
    </row>
    <row r="7">
      <c r="A7" t="s">
        <v>15</v>
      </c>
      <c r="B7" s="17">
        <f>Counts!B7/Counts!$L7</f>
        <v>0.1111111111111111</v>
      </c>
      <c r="C7" s="17">
        <f>Counts!C7/Counts!$L7</f>
        <v>0.1111111111111111</v>
      </c>
      <c r="D7" s="17">
        <f>Counts!D7/Counts!$L7</f>
        <v>0.16666666666666666</v>
      </c>
      <c r="E7" s="17">
        <f>Counts!E7/Counts!$L7</f>
        <v>0.1111111111111111</v>
      </c>
      <c r="F7" s="17">
        <f>Counts!F7/Counts!$L7</f>
        <v>0.05555555555555555</v>
      </c>
      <c r="G7" s="17">
        <f>Counts!G7/Counts!$L7</f>
        <v>0.05555555555555555</v>
      </c>
      <c r="H7" s="17">
        <f>Counts!H7/Counts!$L7</f>
        <v>0.1111111111111111</v>
      </c>
      <c r="I7" s="17">
        <f>Counts!I7/Counts!$L7</f>
        <v>0.1111111111111111</v>
      </c>
      <c r="J7" s="17">
        <f>Counts!J7/Counts!$L7</f>
        <v>0.1111111111111111</v>
      </c>
      <c r="K7" s="17">
        <f>Counts!K7/Counts!$L7</f>
        <v>0.05555555555555555</v>
      </c>
    </row>
    <row r="8">
      <c r="A8" t="s">
        <v>16</v>
      </c>
      <c r="B8" s="17">
        <f>Counts!B8/Counts!$L8</f>
        <v>0.10526315789473684</v>
      </c>
      <c r="C8" s="17">
        <f>Counts!C8/Counts!$L8</f>
        <v>0.13157894736842105</v>
      </c>
      <c r="D8" s="17">
        <f>Counts!D8/Counts!$L8</f>
        <v>0.13157894736842105</v>
      </c>
      <c r="E8" s="17">
        <f>Counts!E8/Counts!$L8</f>
        <v>0.10526315789473684</v>
      </c>
      <c r="F8" s="17">
        <f>Counts!F8/Counts!$L8</f>
        <v>0.05263157894736842</v>
      </c>
      <c r="G8" s="17">
        <f>Counts!G8/Counts!$L8</f>
        <v>0.07894736842105263</v>
      </c>
      <c r="H8" s="17">
        <f>Counts!H8/Counts!$L8</f>
        <v>0.10526315789473684</v>
      </c>
      <c r="I8" s="17">
        <f>Counts!I8/Counts!$L8</f>
        <v>0.10526315789473684</v>
      </c>
      <c r="J8" s="17">
        <f>Counts!J8/Counts!$L8</f>
        <v>0.10526315789473684</v>
      </c>
      <c r="K8" s="17">
        <f>Counts!K8/Counts!$L8</f>
        <v>0.07894736842105263</v>
      </c>
    </row>
    <row r="9">
      <c r="A9" t="s">
        <v>17</v>
      </c>
      <c r="B9" s="17">
        <f>Counts!B9/Counts!$L9</f>
        <v>0.15</v>
      </c>
      <c r="C9" s="17">
        <f>Counts!C9/Counts!$L9</f>
        <v>0.15</v>
      </c>
      <c r="D9" s="17">
        <f>Counts!D9/Counts!$L9</f>
        <v>0.1</v>
      </c>
      <c r="E9" s="17">
        <f>Counts!E9/Counts!$L9</f>
        <v>0.1</v>
      </c>
      <c r="F9" s="17">
        <f>Counts!F9/Counts!$L9</f>
        <v>0.05</v>
      </c>
      <c r="G9" s="17">
        <f>Counts!G9/Counts!$L9</f>
        <v>0.075</v>
      </c>
      <c r="H9" s="17">
        <f>Counts!H9/Counts!$L9</f>
        <v>0.1</v>
      </c>
      <c r="I9" s="17">
        <f>Counts!I9/Counts!$L9</f>
        <v>0.1</v>
      </c>
      <c r="J9" s="17">
        <f>Counts!J9/Counts!$L9</f>
        <v>0.1</v>
      </c>
      <c r="K9" s="17">
        <f>Counts!K9/Counts!$L9</f>
        <v>0.075</v>
      </c>
    </row>
    <row r="10">
      <c r="A10" t="s">
        <v>18</v>
      </c>
      <c r="B10" s="17">
        <f>Counts!B10/Counts!$L10</f>
        <v>0.13636363636363635</v>
      </c>
      <c r="C10" s="17">
        <f>Counts!C10/Counts!$L10</f>
        <v>0.13636363636363635</v>
      </c>
      <c r="D10" s="17">
        <f>Counts!D10/Counts!$L10</f>
        <v>0.09090909090909091</v>
      </c>
      <c r="E10" s="17">
        <f>Counts!E10/Counts!$L10</f>
        <v>0.09090909090909091</v>
      </c>
      <c r="F10" s="17">
        <f>Counts!F10/Counts!$L10</f>
        <v>0.06818181818181818</v>
      </c>
      <c r="G10" s="17">
        <f>Counts!G10/Counts!$L10</f>
        <v>0.09090909090909091</v>
      </c>
      <c r="H10" s="17">
        <f>Counts!H10/Counts!$L10</f>
        <v>0.09090909090909091</v>
      </c>
      <c r="I10" s="17">
        <f>Counts!I10/Counts!$L10</f>
        <v>0.09090909090909091</v>
      </c>
      <c r="J10" s="17">
        <f>Counts!J10/Counts!$L10</f>
        <v>0.11363636363636363</v>
      </c>
      <c r="K10" s="17">
        <f>Counts!K10/Counts!$L10</f>
        <v>0.09090909090909091</v>
      </c>
    </row>
    <row r="11">
      <c r="A11" t="s">
        <v>19</v>
      </c>
      <c r="B11" s="17">
        <f>Counts!B11/Counts!$L11</f>
        <v>0.17391304347826086</v>
      </c>
      <c r="C11" s="17">
        <f>Counts!C11/Counts!$L11</f>
        <v>0.10869565217391304</v>
      </c>
      <c r="D11" s="17">
        <f>Counts!D11/Counts!$L11</f>
        <v>0.08695652173913043</v>
      </c>
      <c r="E11" s="17">
        <f>Counts!E11/Counts!$L11</f>
        <v>0.08695652173913043</v>
      </c>
      <c r="F11" s="17">
        <f>Counts!F11/Counts!$L11</f>
        <v>0.08695652173913043</v>
      </c>
      <c r="G11" s="17">
        <f>Counts!G11/Counts!$L11</f>
        <v>0.08695652173913043</v>
      </c>
      <c r="H11" s="17">
        <f>Counts!H11/Counts!$L11</f>
        <v>0.06521739130434782</v>
      </c>
      <c r="I11" s="17">
        <f>Counts!I11/Counts!$L11</f>
        <v>0.10869565217391304</v>
      </c>
      <c r="J11" s="17">
        <f>Counts!J11/Counts!$L11</f>
        <v>0.10869565217391304</v>
      </c>
      <c r="K11" s="17">
        <f>Counts!K11/Counts!$L11</f>
        <v>0.08695652173913043</v>
      </c>
    </row>
    <row r="12">
      <c r="A12" t="s">
        <v>20</v>
      </c>
      <c r="B12" s="17">
        <f>Counts!B12/Counts!$L12</f>
        <v>0.16</v>
      </c>
      <c r="C12" s="17">
        <f>Counts!C12/Counts!$L12</f>
        <v>0.12</v>
      </c>
      <c r="D12" s="17">
        <f>Counts!D12/Counts!$L12</f>
        <v>0.08</v>
      </c>
      <c r="E12" s="17">
        <f>Counts!E12/Counts!$L12</f>
        <v>0.08</v>
      </c>
      <c r="F12" s="17">
        <f>Counts!F12/Counts!$L12</f>
        <v>0.08</v>
      </c>
      <c r="G12" s="17">
        <f>Counts!G12/Counts!$L12</f>
        <v>0.12</v>
      </c>
      <c r="H12" s="17">
        <f>Counts!H12/Counts!$L12</f>
        <v>0.06</v>
      </c>
      <c r="I12" s="17">
        <f>Counts!I12/Counts!$L12</f>
        <v>0.1</v>
      </c>
      <c r="J12" s="17">
        <f>Counts!J12/Counts!$L12</f>
        <v>0.12</v>
      </c>
      <c r="K12" s="17">
        <f>Counts!K12/Counts!$L12</f>
        <v>0.08</v>
      </c>
    </row>
    <row r="13">
      <c r="A13" t="s">
        <v>21</v>
      </c>
      <c r="B13" s="17">
        <f>Counts!B13/Counts!$L13</f>
        <v>0.18</v>
      </c>
      <c r="C13" s="17">
        <f>Counts!C13/Counts!$L13</f>
        <v>0.12</v>
      </c>
      <c r="D13" s="17">
        <f>Counts!D13/Counts!$L13</f>
        <v>0.08</v>
      </c>
      <c r="E13" s="17">
        <f>Counts!E13/Counts!$L13</f>
        <v>0.08</v>
      </c>
      <c r="F13" s="17">
        <f>Counts!F13/Counts!$L13</f>
        <v>0.08</v>
      </c>
      <c r="G13" s="17">
        <f>Counts!G13/Counts!$L13</f>
        <v>0.08</v>
      </c>
      <c r="H13" s="17">
        <f>Counts!H13/Counts!$L13</f>
        <v>0.06</v>
      </c>
      <c r="I13" s="17">
        <f>Counts!I13/Counts!$L13</f>
        <v>0.12</v>
      </c>
      <c r="J13" s="17">
        <f>Counts!J13/Counts!$L13</f>
        <v>0.12</v>
      </c>
      <c r="K13" s="17">
        <f>Counts!K13/Counts!$L13</f>
        <v>0.08</v>
      </c>
    </row>
    <row r="14">
      <c r="A14" t="s">
        <v>22</v>
      </c>
      <c r="B14" s="17">
        <f>Counts!B14/Counts!$L14</f>
        <v>0.2</v>
      </c>
      <c r="C14" s="17">
        <f>Counts!C14/Counts!$L14</f>
        <v>0.12</v>
      </c>
      <c r="D14" s="17">
        <f>Counts!D14/Counts!$L14</f>
        <v>0.06</v>
      </c>
      <c r="E14" s="17">
        <f>Counts!E14/Counts!$L14</f>
        <v>0.08</v>
      </c>
      <c r="F14" s="17">
        <f>Counts!F14/Counts!$L14</f>
        <v>0.08</v>
      </c>
      <c r="G14" s="17">
        <f>Counts!G14/Counts!$L14</f>
        <v>0.08</v>
      </c>
      <c r="H14" s="17">
        <f>Counts!H14/Counts!$L14</f>
        <v>0.06</v>
      </c>
      <c r="I14" s="17">
        <f>Counts!I14/Counts!$L14</f>
        <v>0.12</v>
      </c>
      <c r="J14" s="17">
        <f>Counts!J14/Counts!$L14</f>
        <v>0.12</v>
      </c>
      <c r="K14" s="17">
        <f>Counts!K14/Counts!$L14</f>
        <v>0.08</v>
      </c>
    </row>
    <row r="15">
      <c r="A15" s="10" t="s">
        <v>23</v>
      </c>
      <c r="B15" s="18">
        <f>Counts!B15/Counts!$L15</f>
        <v>0.14987080103359174</v>
      </c>
      <c r="C15" s="18">
        <f>Counts!C15/Counts!$L15</f>
        <v>0.12403100775193798</v>
      </c>
      <c r="D15" s="18">
        <f>Counts!D15/Counts!$L15</f>
        <v>0.10335917312661498</v>
      </c>
      <c r="E15" s="18">
        <f>Counts!E15/Counts!$L15</f>
        <v>0.09302325581395349</v>
      </c>
      <c r="F15" s="18">
        <f>Counts!F15/Counts!$L15</f>
        <v>0.06976744186046512</v>
      </c>
      <c r="G15" s="18">
        <f>Counts!G15/Counts!$L15</f>
        <v>0.082687338501292</v>
      </c>
      <c r="H15" s="18">
        <f>Counts!H15/Counts!$L15</f>
        <v>0.082687338501292</v>
      </c>
      <c r="I15" s="18">
        <f>Counts!I15/Counts!$L15</f>
        <v>0.10594315245478036</v>
      </c>
      <c r="J15" s="18">
        <f>Counts!J15/Counts!$L15</f>
        <v>0.1111111111111111</v>
      </c>
      <c r="K15" s="18">
        <f>Counts!K15/Counts!$L15</f>
        <v>0.07751937984496124</v>
      </c>
    </row>
    <row r="18" ht="17.73">
      <c r="A18" s="16" t="s">
        <v>24</v>
      </c>
    </row>
    <row r="19" ht="34.5" customHeight="1">
      <c r="A19" s="8" t="s">
        <v>25</v>
      </c>
      <c r="B19" s="11" t="s">
        <v>26</v>
      </c>
      <c r="C19" s="11" t="s">
        <v>27</v>
      </c>
      <c r="D19" s="11" t="s">
        <v>28</v>
      </c>
      <c r="E19" s="11" t="s">
        <v>29</v>
      </c>
      <c r="F19" s="11" t="s">
        <v>30</v>
      </c>
      <c r="G19" s="11" t="s">
        <v>31</v>
      </c>
      <c r="H19" s="11" t="s">
        <v>32</v>
      </c>
    </row>
    <row r="20">
      <c r="A20" t="s">
        <v>4</v>
      </c>
      <c r="B20" s="17">
        <f>COUNTIF(Posts!$F$2:$F$388,$A20)/COUNTA(Posts!$F$2:$F$388)</f>
        <v>0.14987080103359174</v>
      </c>
      <c r="C20" s="17" cm="1">
        <f t="array" ref="C20">INDEX($B$6:$K$6,MATCH($A20,$B$5:$K$5,0))</f>
        <v>0.09090909090909091</v>
      </c>
      <c r="D20" s="17" cm="1">
        <f t="array" ref="D20">INDEX($B$14:$K$14,MATCH($A20,$B$5:$K$5,0))</f>
        <v>0.2</v>
      </c>
      <c r="E20" s="19">
        <f>ROUND((D20-C20)*100,0)</f>
        <v>11</v>
      </c>
      <c r="F20" s="17">
        <f>COUNTIFS(Posts!$F$2:$F$388,$A20,Posts!$G$2:$G$388,F$19)/COUNTIF(Posts!$F$2:$F$388,$A20)</f>
        <v>0.4827586206896552</v>
      </c>
      <c r="G20" s="17">
        <f>COUNTIFS(Posts!$F$2:$F$388,$A20,Posts!$G$2:$G$388,G$19)/COUNTIF(Posts!$F$2:$F$388,$A20)</f>
        <v>0.41379310344827586</v>
      </c>
      <c r="H20" s="20">
        <f>COUNTIFS(Posts!$F$2:$F$388,$A20,Posts!$G$2:$G$388,H$19)/COUNTIF(Posts!$F$2:$F$388,$A20)</f>
        <v>0.10344827586206896</v>
      </c>
    </row>
    <row r="21">
      <c r="A21" t="s">
        <v>5</v>
      </c>
      <c r="B21" s="17">
        <f>COUNTIF(Posts!$F$2:$F$388,$A21)/COUNTA(Posts!$F$2:$F$388)</f>
        <v>0.12403100775193798</v>
      </c>
      <c r="C21" s="17" cm="1">
        <f t="array" ref="C21">INDEX($B$6:$K$6,MATCH($A21,$B$5:$K$5,0))</f>
        <v>0.12121212121212122</v>
      </c>
      <c r="D21" s="17" cm="1">
        <f t="array" ref="D21">INDEX($B$14:$K$14,MATCH($A21,$B$5:$K$5,0))</f>
        <v>0.12</v>
      </c>
      <c r="E21" s="19">
        <f>ROUND((D21-C21)*100,0)</f>
        <v>0</v>
      </c>
      <c r="F21" s="17">
        <f>COUNTIFS(Posts!$F$2:$F$388,$A21,Posts!$G$2:$G$388,F$19)/COUNTIF(Posts!$F$2:$F$388,$A21)</f>
        <v>0.4791666666666667</v>
      </c>
      <c r="G21" s="17">
        <f>COUNTIFS(Posts!$F$2:$F$388,$A21,Posts!$G$2:$G$388,G$19)/COUNTIF(Posts!$F$2:$F$388,$A21)</f>
        <v>0.3125</v>
      </c>
      <c r="H21" s="20">
        <f>COUNTIFS(Posts!$F$2:$F$388,$A21,Posts!$G$2:$G$388,H$19)/COUNTIF(Posts!$F$2:$F$388,$A21)</f>
        <v>0.20833333333333334</v>
      </c>
    </row>
    <row r="22">
      <c r="A22" t="s">
        <v>6</v>
      </c>
      <c r="B22" s="17">
        <f>COUNTIF(Posts!$F$2:$F$388,$A22)/COUNTA(Posts!$F$2:$F$388)</f>
        <v>0.10335917312661498</v>
      </c>
      <c r="C22" s="17" cm="1">
        <f t="array" ref="C22">INDEX($B$6:$K$6,MATCH($A22,$B$5:$K$5,0))</f>
        <v>0.18181818181818182</v>
      </c>
      <c r="D22" s="17" cm="1">
        <f t="array" ref="D22">INDEX($B$14:$K$14,MATCH($A22,$B$5:$K$5,0))</f>
        <v>0.06</v>
      </c>
      <c r="E22" s="19">
        <f>ROUND((D22-C22)*100,0)</f>
        <v>-12</v>
      </c>
      <c r="F22" s="17">
        <f>COUNTIFS(Posts!$F$2:$F$388,$A22,Posts!$G$2:$G$388,F$19)/COUNTIF(Posts!$F$2:$F$388,$A22)</f>
        <v>0.35</v>
      </c>
      <c r="G22" s="17">
        <f>COUNTIFS(Posts!$F$2:$F$388,$A22,Posts!$G$2:$G$388,G$19)/COUNTIF(Posts!$F$2:$F$388,$A22)</f>
        <v>0.525</v>
      </c>
      <c r="H22" s="20">
        <f>COUNTIFS(Posts!$F$2:$F$388,$A22,Posts!$G$2:$G$388,H$19)/COUNTIF(Posts!$F$2:$F$388,$A22)</f>
        <v>0.125</v>
      </c>
    </row>
    <row r="23">
      <c r="A23" t="s">
        <v>7</v>
      </c>
      <c r="B23" s="17">
        <f>COUNTIF(Posts!$F$2:$F$388,$A23)/COUNTA(Posts!$F$2:$F$388)</f>
        <v>0.09302325581395349</v>
      </c>
      <c r="C23" s="17" cm="1">
        <f t="array" ref="C23">INDEX($B$6:$K$6,MATCH($A23,$B$5:$K$5,0))</f>
        <v>0.12121212121212122</v>
      </c>
      <c r="D23" s="17" cm="1">
        <f t="array" ref="D23">INDEX($B$14:$K$14,MATCH($A23,$B$5:$K$5,0))</f>
        <v>0.08</v>
      </c>
      <c r="E23" s="19">
        <f>ROUND((D23-C23)*100,0)</f>
        <v>-4</v>
      </c>
      <c r="F23" s="17">
        <f>COUNTIFS(Posts!$F$2:$F$388,$A23,Posts!$G$2:$G$388,F$19)/COUNTIF(Posts!$F$2:$F$388,$A23)</f>
        <v>0.3055555555555556</v>
      </c>
      <c r="G23" s="17">
        <f>COUNTIFS(Posts!$F$2:$F$388,$A23,Posts!$G$2:$G$388,G$19)/COUNTIF(Posts!$F$2:$F$388,$A23)</f>
        <v>0.16666666666666666</v>
      </c>
      <c r="H23" s="20">
        <f>COUNTIFS(Posts!$F$2:$F$388,$A23,Posts!$G$2:$G$388,H$19)/COUNTIF(Posts!$F$2:$F$388,$A23)</f>
        <v>0.5277777777777778</v>
      </c>
    </row>
    <row r="24">
      <c r="A24" t="s">
        <v>8</v>
      </c>
      <c r="B24" s="17">
        <f>COUNTIF(Posts!$F$2:$F$388,$A24)/COUNTA(Posts!$F$2:$F$388)</f>
        <v>0.06976744186046512</v>
      </c>
      <c r="C24" s="17" cm="1">
        <f t="array" ref="C24">INDEX($B$6:$K$6,MATCH($A24,$B$5:$K$5,0))</f>
        <v>0.06060606060606061</v>
      </c>
      <c r="D24" s="17" cm="1">
        <f t="array" ref="D24">INDEX($B$14:$K$14,MATCH($A24,$B$5:$K$5,0))</f>
        <v>0.08</v>
      </c>
      <c r="E24" s="19">
        <f>ROUND((D24-C24)*100,0)</f>
        <v>2</v>
      </c>
      <c r="F24" s="17">
        <f>COUNTIFS(Posts!$F$2:$F$388,$A24,Posts!$G$2:$G$388,F$19)/COUNTIF(Posts!$F$2:$F$388,$A24)</f>
        <v>0.4444444444444444</v>
      </c>
      <c r="G24" s="17">
        <f>COUNTIFS(Posts!$F$2:$F$388,$A24,Posts!$G$2:$G$388,G$19)/COUNTIF(Posts!$F$2:$F$388,$A24)</f>
        <v>0.3333333333333333</v>
      </c>
      <c r="H24" s="20">
        <f>COUNTIFS(Posts!$F$2:$F$388,$A24,Posts!$G$2:$G$388,H$19)/COUNTIF(Posts!$F$2:$F$388,$A24)</f>
        <v>0.2222222222222222</v>
      </c>
    </row>
    <row r="25">
      <c r="A25" t="s">
        <v>9</v>
      </c>
      <c r="B25" s="17">
        <f>COUNTIF(Posts!$F$2:$F$388,$A25)/COUNTA(Posts!$F$2:$F$388)</f>
        <v>0.082687338501292</v>
      </c>
      <c r="C25" s="17" cm="1">
        <f t="array" ref="C25">INDEX($B$6:$K$6,MATCH($A25,$B$5:$K$5,0))</f>
        <v>0.06060606060606061</v>
      </c>
      <c r="D25" s="17" cm="1">
        <f t="array" ref="D25">INDEX($B$14:$K$14,MATCH($A25,$B$5:$K$5,0))</f>
        <v>0.08</v>
      </c>
      <c r="E25" s="19">
        <f>ROUND((D25-C25)*100,0)</f>
        <v>2</v>
      </c>
      <c r="F25" s="17">
        <f>COUNTIFS(Posts!$F$2:$F$388,$A25,Posts!$G$2:$G$388,F$19)/COUNTIF(Posts!$F$2:$F$388,$A25)</f>
        <v>0.53125</v>
      </c>
      <c r="G25" s="17">
        <f>COUNTIFS(Posts!$F$2:$F$388,$A25,Posts!$G$2:$G$388,G$19)/COUNTIF(Posts!$F$2:$F$388,$A25)</f>
        <v>0.34375</v>
      </c>
      <c r="H25" s="20">
        <f>COUNTIFS(Posts!$F$2:$F$388,$A25,Posts!$G$2:$G$388,H$19)/COUNTIF(Posts!$F$2:$F$388,$A25)</f>
        <v>0.125</v>
      </c>
    </row>
    <row r="26">
      <c r="A26" t="s">
        <v>10</v>
      </c>
      <c r="B26" s="17">
        <f>COUNTIF(Posts!$F$2:$F$388,$A26)/COUNTA(Posts!$F$2:$F$388)</f>
        <v>0.082687338501292</v>
      </c>
      <c r="C26" s="17" cm="1">
        <f t="array" ref="C26">INDEX($B$6:$K$6,MATCH($A26,$B$5:$K$5,0))</f>
        <v>0.12121212121212122</v>
      </c>
      <c r="D26" s="17" cm="1">
        <f t="array" ref="D26">INDEX($B$14:$K$14,MATCH($A26,$B$5:$K$5,0))</f>
        <v>0.06</v>
      </c>
      <c r="E26" s="19">
        <f>ROUND((D26-C26)*100,0)</f>
        <v>-6</v>
      </c>
      <c r="F26" s="17">
        <f>COUNTIFS(Posts!$F$2:$F$388,$A26,Posts!$G$2:$G$388,F$19)/COUNTIF(Posts!$F$2:$F$388,$A26)</f>
        <v>0.5</v>
      </c>
      <c r="G26" s="17">
        <f>COUNTIFS(Posts!$F$2:$F$388,$A26,Posts!$G$2:$G$388,G$19)/COUNTIF(Posts!$F$2:$F$388,$A26)</f>
        <v>0.46875</v>
      </c>
      <c r="H26" s="20">
        <f>COUNTIFS(Posts!$F$2:$F$388,$A26,Posts!$G$2:$G$388,H$19)/COUNTIF(Posts!$F$2:$F$388,$A26)</f>
        <v>0.03125</v>
      </c>
    </row>
    <row r="27">
      <c r="A27" t="s">
        <v>11</v>
      </c>
      <c r="B27" s="17">
        <f>COUNTIF(Posts!$F$2:$F$388,$A27)/COUNTA(Posts!$F$2:$F$388)</f>
        <v>0.10594315245478036</v>
      </c>
      <c r="C27" s="17" cm="1">
        <f t="array" ref="C27">INDEX($B$6:$K$6,MATCH($A27,$B$5:$K$5,0))</f>
        <v>0.09090909090909091</v>
      </c>
      <c r="D27" s="17" cm="1">
        <f t="array" ref="D27">INDEX($B$14:$K$14,MATCH($A27,$B$5:$K$5,0))</f>
        <v>0.12</v>
      </c>
      <c r="E27" s="19">
        <f>ROUND((D27-C27)*100,0)</f>
        <v>3</v>
      </c>
      <c r="F27" s="17">
        <f>COUNTIFS(Posts!$F$2:$F$388,$A27,Posts!$G$2:$G$388,F$19)/COUNTIF(Posts!$F$2:$F$388,$A27)</f>
        <v>0.21951219512195122</v>
      </c>
      <c r="G27" s="17">
        <f>COUNTIFS(Posts!$F$2:$F$388,$A27,Posts!$G$2:$G$388,G$19)/COUNTIF(Posts!$F$2:$F$388,$A27)</f>
        <v>0.36585365853658536</v>
      </c>
      <c r="H27" s="20">
        <f>COUNTIFS(Posts!$F$2:$F$388,$A27,Posts!$G$2:$G$388,H$19)/COUNTIF(Posts!$F$2:$F$388,$A27)</f>
        <v>0.4146341463414634</v>
      </c>
    </row>
    <row r="28">
      <c r="A28" t="s">
        <v>12</v>
      </c>
      <c r="B28" s="17">
        <f>COUNTIF(Posts!$F$2:$F$388,$A28)/COUNTA(Posts!$F$2:$F$388)</f>
        <v>0.1111111111111111</v>
      </c>
      <c r="C28" s="17" cm="1">
        <f t="array" ref="C28">INDEX($B$6:$K$6,MATCH($A28,$B$5:$K$5,0))</f>
        <v>0.09090909090909091</v>
      </c>
      <c r="D28" s="17" cm="1">
        <f t="array" ref="D28">INDEX($B$14:$K$14,MATCH($A28,$B$5:$K$5,0))</f>
        <v>0.12</v>
      </c>
      <c r="E28" s="19">
        <f>ROUND((D28-C28)*100,0)</f>
        <v>3</v>
      </c>
      <c r="F28" s="17">
        <f>COUNTIFS(Posts!$F$2:$F$388,$A28,Posts!$G$2:$G$388,F$19)/COUNTIF(Posts!$F$2:$F$388,$A28)</f>
        <v>0.37209302325581395</v>
      </c>
      <c r="G28" s="17">
        <f>COUNTIFS(Posts!$F$2:$F$388,$A28,Posts!$G$2:$G$388,G$19)/COUNTIF(Posts!$F$2:$F$388,$A28)</f>
        <v>0.4418604651162791</v>
      </c>
      <c r="H28" s="20">
        <f>COUNTIFS(Posts!$F$2:$F$388,$A28,Posts!$G$2:$G$388,H$19)/COUNTIF(Posts!$F$2:$F$388,$A28)</f>
        <v>0.18604651162790697</v>
      </c>
    </row>
    <row r="29">
      <c r="A29" t="s">
        <v>13</v>
      </c>
      <c r="B29" s="17">
        <f>COUNTIF(Posts!$F$2:$F$388,$A29)/COUNTA(Posts!$F$2:$F$388)</f>
        <v>0.07751937984496124</v>
      </c>
      <c r="C29" s="17" cm="1">
        <f t="array" ref="C29">INDEX($B$6:$K$6,MATCH($A29,$B$5:$K$5,0))</f>
        <v>0.06060606060606061</v>
      </c>
      <c r="D29" s="17" cm="1">
        <f t="array" ref="D29">INDEX($B$14:$K$14,MATCH($A29,$B$5:$K$5,0))</f>
        <v>0.08</v>
      </c>
      <c r="E29" s="19">
        <f>ROUND((D29-C29)*100,0)</f>
        <v>2</v>
      </c>
      <c r="F29" s="17">
        <f>COUNTIFS(Posts!$F$2:$F$388,$A29,Posts!$G$2:$G$388,F$19)/COUNTIF(Posts!$F$2:$F$388,$A29)</f>
        <v>0.2</v>
      </c>
      <c r="G29" s="17">
        <f>COUNTIFS(Posts!$F$2:$F$388,$A29,Posts!$G$2:$G$388,G$19)/COUNTIF(Posts!$F$2:$F$388,$A29)</f>
        <v>0.3333333333333333</v>
      </c>
      <c r="H29" s="20">
        <f>COUNTIFS(Posts!$F$2:$F$388,$A29,Posts!$G$2:$G$388,H$19)/COUNTIF(Posts!$F$2:$F$388,$A29)</f>
        <v>0.4666666666666667</v>
      </c>
    </row>
    <row r="30">
      <c r="A30" s="10" t="s">
        <v>33</v>
      </c>
      <c r="B30" s="18">
        <f>SUM(B20:B29)</f>
        <v>0.9999999999999999</v>
      </c>
      <c r="C30" s="18">
        <f>SUM(C20:C29)</f>
        <v>1</v>
      </c>
      <c r="D30" s="18">
        <f>SUM(D20:D29)</f>
        <v>0.9999999999999999</v>
      </c>
      <c r="E30" s="10"/>
      <c r="F30" s="18">
        <f>COUNTIF(Posts!$G$2:$G$388,F$19)/COUNTA(Posts!$G$2:$G$388)</f>
        <v>0.39276485788113696</v>
      </c>
      <c r="G30" s="18">
        <f>COUNTIF(Posts!$G$2:$G$388,G$19)/COUNTA(Posts!$G$2:$G$388)</f>
        <v>0.37467700258397935</v>
      </c>
      <c r="H30" s="21">
        <f>COUNTIF(Posts!$G$2:$G$388,H$19)/COUNTA(Posts!$G$2:$G$388)</f>
        <v>0.23255813953488372</v>
      </c>
    </row>
    <row r="32">
      <c r="A32" s="6" t="s">
        <v>34</v>
      </c>
    </row>
    <row r="35">
      <c r="A35" s="6" t="s">
        <v>35</v>
      </c>
      <c r="B35" s="6"/>
      <c r="C35" s="6"/>
      <c r="D35" s="6"/>
      <c r="E35" s="6"/>
      <c r="F35" s="6"/>
      <c r="G35" s="6" t="s">
        <v>36</v>
      </c>
      <c r="H35" s="6"/>
    </row>
    <row r="36">
      <c r="A36" s="6" t="s">
        <v>3</v>
      </c>
      <c r="B36" s="6" t="s">
        <v>4</v>
      </c>
      <c r="C36" s="6" t="s">
        <v>6</v>
      </c>
      <c r="D36" s="6" t="s">
        <v>10</v>
      </c>
      <c r="E36" s="6" t="s">
        <v>11</v>
      </c>
      <c r="F36" s="6"/>
      <c r="G36" s="6" t="s">
        <v>25</v>
      </c>
      <c r="H36" s="6" t="s">
        <v>37</v>
      </c>
    </row>
    <row r="37">
      <c r="A37" s="5" t="str">
        <f>A6</f>
        <v>Jan</v>
      </c>
      <c r="B37" s="22">
        <f>B6</f>
        <v>0.09090909090909091</v>
      </c>
      <c r="C37" s="22">
        <f>D6</f>
        <v>0.18181818181818182</v>
      </c>
      <c r="D37" s="22">
        <f>H6</f>
        <v>0.12121212121212122</v>
      </c>
      <c r="E37" s="22">
        <f>I6</f>
        <v>0.09090909090909091</v>
      </c>
      <c r="F37" s="5"/>
      <c r="G37" s="5" t="str">
        <f>A26</f>
        <v>Benchmarks &amp; evals</v>
      </c>
      <c r="H37" s="23">
        <f>H26</f>
        <v>0.03125</v>
      </c>
    </row>
    <row r="38">
      <c r="A38" s="5" t="str">
        <f>A7</f>
        <v>Feb</v>
      </c>
      <c r="B38" s="22">
        <f>B7</f>
        <v>0.1111111111111111</v>
      </c>
      <c r="C38" s="22">
        <f>D7</f>
        <v>0.16666666666666666</v>
      </c>
      <c r="D38" s="22">
        <f>H7</f>
        <v>0.1111111111111111</v>
      </c>
      <c r="E38" s="22">
        <f>I7</f>
        <v>0.1111111111111111</v>
      </c>
      <c r="F38" s="5"/>
      <c r="G38" s="5" t="str">
        <f>A20</f>
        <v>Agentic coding</v>
      </c>
      <c r="H38" s="23">
        <f>H20</f>
        <v>0.10344827586206896</v>
      </c>
    </row>
    <row r="39">
      <c r="A39" s="5" t="str">
        <f>A8</f>
        <v>Mar</v>
      </c>
      <c r="B39" s="22">
        <f>B8</f>
        <v>0.10526315789473684</v>
      </c>
      <c r="C39" s="22">
        <f>D8</f>
        <v>0.13157894736842105</v>
      </c>
      <c r="D39" s="22">
        <f>H8</f>
        <v>0.10526315789473684</v>
      </c>
      <c r="E39" s="22">
        <f>I8</f>
        <v>0.10526315789473684</v>
      </c>
      <c r="F39" s="5"/>
      <c r="G39" s="5" t="str">
        <f>A22</f>
        <v>Reasoning &amp; test-time compute</v>
      </c>
      <c r="H39" s="23">
        <f>H22</f>
        <v>0.125</v>
      </c>
    </row>
    <row r="40">
      <c r="A40" s="5" t="str">
        <f>A9</f>
        <v>Apr</v>
      </c>
      <c r="B40" s="22">
        <f>B9</f>
        <v>0.15</v>
      </c>
      <c r="C40" s="22">
        <f>D9</f>
        <v>0.1</v>
      </c>
      <c r="D40" s="22">
        <f>H9</f>
        <v>0.1</v>
      </c>
      <c r="E40" s="22">
        <f>I9</f>
        <v>0.1</v>
      </c>
      <c r="F40" s="5"/>
      <c r="G40" s="5" t="str">
        <f>A25</f>
        <v>Regulation &amp; policy</v>
      </c>
      <c r="H40" s="23">
        <f>H25</f>
        <v>0.125</v>
      </c>
    </row>
    <row r="41">
      <c r="A41" s="5" t="str">
        <f>A10</f>
        <v>May</v>
      </c>
      <c r="B41" s="22">
        <f>B10</f>
        <v>0.13636363636363635</v>
      </c>
      <c r="C41" s="22">
        <f>D10</f>
        <v>0.09090909090909091</v>
      </c>
      <c r="D41" s="22">
        <f>H10</f>
        <v>0.09090909090909091</v>
      </c>
      <c r="E41" s="22">
        <f>I10</f>
        <v>0.09090909090909091</v>
      </c>
      <c r="F41" s="5"/>
      <c r="G41" s="5" t="str">
        <f>A28</f>
        <v>Multimodal &amp; voice</v>
      </c>
      <c r="H41" s="23">
        <f>H28</f>
        <v>0.18604651162790697</v>
      </c>
    </row>
    <row r="42">
      <c r="A42" s="5" t="str">
        <f>A11</f>
        <v>Jun</v>
      </c>
      <c r="B42" s="22">
        <f>B11</f>
        <v>0.17391304347826086</v>
      </c>
      <c r="C42" s="22">
        <f>D11</f>
        <v>0.08695652173913043</v>
      </c>
      <c r="D42" s="22">
        <f>H11</f>
        <v>0.06521739130434782</v>
      </c>
      <c r="E42" s="22">
        <f>I11</f>
        <v>0.10869565217391304</v>
      </c>
      <c r="F42" s="5"/>
      <c r="G42" s="5" t="str">
        <f>A21</f>
        <v>Open-weight models</v>
      </c>
      <c r="H42" s="23">
        <f>H21</f>
        <v>0.20833333333333334</v>
      </c>
    </row>
    <row r="43">
      <c r="A43" s="5" t="str">
        <f>A12</f>
        <v>Jul</v>
      </c>
      <c r="B43" s="22">
        <f>B12</f>
        <v>0.16</v>
      </c>
      <c r="C43" s="22">
        <f>D12</f>
        <v>0.08</v>
      </c>
      <c r="D43" s="22">
        <f>H12</f>
        <v>0.06</v>
      </c>
      <c r="E43" s="22">
        <f>I12</f>
        <v>0.1</v>
      </c>
      <c r="F43" s="5"/>
      <c r="G43" s="5" t="str">
        <f>A24</f>
        <v>On-device AI</v>
      </c>
      <c r="H43" s="23">
        <f>H24</f>
        <v>0.2222222222222222</v>
      </c>
    </row>
    <row r="44">
      <c r="A44" s="5" t="str">
        <f>A13</f>
        <v>Aug</v>
      </c>
      <c r="B44" s="22">
        <f>B13</f>
        <v>0.18</v>
      </c>
      <c r="C44" s="22">
        <f>D13</f>
        <v>0.08</v>
      </c>
      <c r="D44" s="22">
        <f>H13</f>
        <v>0.06</v>
      </c>
      <c r="E44" s="22">
        <f>I13</f>
        <v>0.12</v>
      </c>
      <c r="F44" s="5"/>
      <c r="G44" s="5" t="s">
        <v>38</v>
      </c>
      <c r="H44" s="23">
        <f>H30</f>
        <v>0.23255813953488372</v>
      </c>
    </row>
    <row r="45">
      <c r="A45" s="5" t="str">
        <f>A14</f>
        <v>Sep</v>
      </c>
      <c r="B45" s="22">
        <f>B14</f>
        <v>0.2</v>
      </c>
      <c r="C45" s="22">
        <f>D14</f>
        <v>0.06</v>
      </c>
      <c r="D45" s="22">
        <f>H14</f>
        <v>0.06</v>
      </c>
      <c r="E45" s="22">
        <f>I14</f>
        <v>0.12</v>
      </c>
      <c r="F45" s="5"/>
      <c r="G45" s="5" t="str">
        <f>A27</f>
        <v>Compute &amp; energy</v>
      </c>
      <c r="H45" s="23">
        <f>H27</f>
        <v>0.4146341463414634</v>
      </c>
    </row>
    <row r="46">
      <c r="A46" s="5"/>
      <c r="B46" s="5"/>
      <c r="C46" s="5"/>
      <c r="D46" s="5"/>
      <c r="E46" s="5"/>
      <c r="F46" s="5"/>
      <c r="G46" s="5" t="str">
        <f>A29</f>
        <v>Safety &amp; trust</v>
      </c>
      <c r="H46" s="23">
        <f>H29</f>
        <v>0.4666666666666667</v>
      </c>
    </row>
    <row r="47">
      <c r="A47" s="5"/>
      <c r="B47" s="5"/>
      <c r="C47" s="5"/>
      <c r="D47" s="5"/>
      <c r="E47" s="5"/>
      <c r="F47" s="5"/>
      <c r="G47" s="5" t="str">
        <f>A23</f>
        <v>Prices &amp; tokens</v>
      </c>
      <c r="H47" s="23">
        <f>H23</f>
        <v>0.5277777777777778</v>
      </c>
    </row>
  </sheetData>
  <conditionalFormatting sqref="F20:F29">
    <cfRule type="dataBar" priority="1">
      <dataBar>
        <cfvo type="min"/>
        <cfvo type="max"/>
        <color rgb="FF2BB3A3"/>
      </dataBar>
    </cfRule>
  </conditionalFormatting>
  <conditionalFormatting sqref="H20:H29">
    <cfRule type="dataBar" priority="2">
      <dataBar>
        <cfvo type="min"/>
        <cfvo type="max"/>
        <color rgb="FFFF6B4A"/>
      </dataBar>
    </cfRule>
  </conditionalFormatting>
  <conditionalFormatting sqref="E20:E29">
    <cfRule type="colorScale" priority="3">
      <colorScale>
        <cfvo type="min"/>
        <cfvo type="percentile" val="50"/>
        <cfvo type="max"/>
        <color rgb="FF7A5CFA"/>
        <color rgb="FFFFFFFF"/>
        <color rgb="FFFF6B4A"/>
      </colorScale>
    </cfRule>
  </conditionalFormatting>
  <conditionalFormatting sqref="B6:K14">
    <cfRule type="colorScale" priority="4">
      <colorScale>
        <cfvo type="min"/>
        <cfvo type="max"/>
        <color rgb="FFFFFFFF"/>
        <color rgb="FFFF6B4A"/>
      </colorScale>
    </cfRule>
  </conditionalFormatting>
  <pageMargins left="0.25" right="0.25" top="0.75" bottom="0.75" header="0.30000001192092896" footer="0.30000001192092896"/>
  <pageSetup paperSize="9" fitToWidth="1" fitToHeight="1" orientation="landscape"/>
  <headerFooter>
    <oddFooter>&amp;LSignal &amp;&amp; Noise 2026 · illustrative / synthetic data&amp;RGridCraft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B3A3"/>
    <pageSetUpPr fitToPage="1"/>
  </sheetPr>
  <dimension ref="A1:L17"/>
  <sheetViews>
    <sheetView workbookViewId="0">
      <selection activeCell="A1" sqref="A1"/>
    </sheetView>
  </sheetViews>
  <sheetFormatPr defaultRowHeight="15"/>
  <cols>
    <col min="1" max="12" width="12.7109375" customWidth="1"/>
  </cols>
  <sheetData>
    <row r="1" ht="21.82">
      <c r="A1" s="4" t="s">
        <v>39</v>
      </c>
    </row>
    <row r="2">
      <c r="A2" s="6" t="s">
        <v>40</v>
      </c>
    </row>
    <row r="5" ht="46.5" customHeight="1">
      <c r="A5" s="8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41</v>
      </c>
    </row>
    <row r="6">
      <c r="A6" t="s">
        <v>42</v>
      </c>
      <c r="B6">
        <f>COUNTIFS(Posts!$C$2:$C$388,$A6,Posts!$F$2:$F$388,B$5)</f>
        <v>3</v>
      </c>
      <c r="C6">
        <f>COUNTIFS(Posts!$C$2:$C$388,$A6,Posts!$F$2:$F$388,C$5)</f>
        <v>4</v>
      </c>
      <c r="D6">
        <f>COUNTIFS(Posts!$C$2:$C$388,$A6,Posts!$F$2:$F$388,D$5)</f>
        <v>6</v>
      </c>
      <c r="E6">
        <f>COUNTIFS(Posts!$C$2:$C$388,$A6,Posts!$F$2:$F$388,E$5)</f>
        <v>4</v>
      </c>
      <c r="F6">
        <f>COUNTIFS(Posts!$C$2:$C$388,$A6,Posts!$F$2:$F$388,F$5)</f>
        <v>2</v>
      </c>
      <c r="G6">
        <f>COUNTIFS(Posts!$C$2:$C$388,$A6,Posts!$F$2:$F$388,G$5)</f>
        <v>2</v>
      </c>
      <c r="H6">
        <f>COUNTIFS(Posts!$C$2:$C$388,$A6,Posts!$F$2:$F$388,H$5)</f>
        <v>4</v>
      </c>
      <c r="I6">
        <f>COUNTIFS(Posts!$C$2:$C$388,$A6,Posts!$F$2:$F$388,I$5)</f>
        <v>3</v>
      </c>
      <c r="J6">
        <f>COUNTIFS(Posts!$C$2:$C$388,$A6,Posts!$F$2:$F$388,J$5)</f>
        <v>3</v>
      </c>
      <c r="K6">
        <f>COUNTIFS(Posts!$C$2:$C$388,$A6,Posts!$F$2:$F$388,K$5)</f>
        <v>2</v>
      </c>
      <c r="L6">
        <f>SUM(B6:K6)</f>
        <v>33</v>
      </c>
    </row>
    <row r="7">
      <c r="A7" t="s">
        <v>43</v>
      </c>
      <c r="B7">
        <f>COUNTIFS(Posts!$C$2:$C$388,$A7,Posts!$F$2:$F$388,B$5)</f>
        <v>4</v>
      </c>
      <c r="C7">
        <f>COUNTIFS(Posts!$C$2:$C$388,$A7,Posts!$F$2:$F$388,C$5)</f>
        <v>4</v>
      </c>
      <c r="D7">
        <f>COUNTIFS(Posts!$C$2:$C$388,$A7,Posts!$F$2:$F$388,D$5)</f>
        <v>6</v>
      </c>
      <c r="E7">
        <f>COUNTIFS(Posts!$C$2:$C$388,$A7,Posts!$F$2:$F$388,E$5)</f>
        <v>4</v>
      </c>
      <c r="F7">
        <f>COUNTIFS(Posts!$C$2:$C$388,$A7,Posts!$F$2:$F$388,F$5)</f>
        <v>2</v>
      </c>
      <c r="G7">
        <f>COUNTIFS(Posts!$C$2:$C$388,$A7,Posts!$F$2:$F$388,G$5)</f>
        <v>2</v>
      </c>
      <c r="H7">
        <f>COUNTIFS(Posts!$C$2:$C$388,$A7,Posts!$F$2:$F$388,H$5)</f>
        <v>4</v>
      </c>
      <c r="I7">
        <f>COUNTIFS(Posts!$C$2:$C$388,$A7,Posts!$F$2:$F$388,I$5)</f>
        <v>4</v>
      </c>
      <c r="J7">
        <f>COUNTIFS(Posts!$C$2:$C$388,$A7,Posts!$F$2:$F$388,J$5)</f>
        <v>4</v>
      </c>
      <c r="K7">
        <f>COUNTIFS(Posts!$C$2:$C$388,$A7,Posts!$F$2:$F$388,K$5)</f>
        <v>2</v>
      </c>
      <c r="L7">
        <f>SUM(B7:K7)</f>
        <v>36</v>
      </c>
    </row>
    <row r="8">
      <c r="A8" t="s">
        <v>44</v>
      </c>
      <c r="B8">
        <f>COUNTIFS(Posts!$C$2:$C$388,$A8,Posts!$F$2:$F$388,B$5)</f>
        <v>4</v>
      </c>
      <c r="C8">
        <f>COUNTIFS(Posts!$C$2:$C$388,$A8,Posts!$F$2:$F$388,C$5)</f>
        <v>5</v>
      </c>
      <c r="D8">
        <f>COUNTIFS(Posts!$C$2:$C$388,$A8,Posts!$F$2:$F$388,D$5)</f>
        <v>5</v>
      </c>
      <c r="E8">
        <f>COUNTIFS(Posts!$C$2:$C$388,$A8,Posts!$F$2:$F$388,E$5)</f>
        <v>4</v>
      </c>
      <c r="F8">
        <f>COUNTIFS(Posts!$C$2:$C$388,$A8,Posts!$F$2:$F$388,F$5)</f>
        <v>2</v>
      </c>
      <c r="G8">
        <f>COUNTIFS(Posts!$C$2:$C$388,$A8,Posts!$F$2:$F$388,G$5)</f>
        <v>3</v>
      </c>
      <c r="H8">
        <f>COUNTIFS(Posts!$C$2:$C$388,$A8,Posts!$F$2:$F$388,H$5)</f>
        <v>4</v>
      </c>
      <c r="I8">
        <f>COUNTIFS(Posts!$C$2:$C$388,$A8,Posts!$F$2:$F$388,I$5)</f>
        <v>4</v>
      </c>
      <c r="J8">
        <f>COUNTIFS(Posts!$C$2:$C$388,$A8,Posts!$F$2:$F$388,J$5)</f>
        <v>4</v>
      </c>
      <c r="K8">
        <f>COUNTIFS(Posts!$C$2:$C$388,$A8,Posts!$F$2:$F$388,K$5)</f>
        <v>3</v>
      </c>
      <c r="L8">
        <f>SUM(B8:K8)</f>
        <v>38</v>
      </c>
    </row>
    <row r="9">
      <c r="A9" t="s">
        <v>45</v>
      </c>
      <c r="B9">
        <f>COUNTIFS(Posts!$C$2:$C$388,$A9,Posts!$F$2:$F$388,B$5)</f>
        <v>6</v>
      </c>
      <c r="C9">
        <f>COUNTIFS(Posts!$C$2:$C$388,$A9,Posts!$F$2:$F$388,C$5)</f>
        <v>6</v>
      </c>
      <c r="D9">
        <f>COUNTIFS(Posts!$C$2:$C$388,$A9,Posts!$F$2:$F$388,D$5)</f>
        <v>4</v>
      </c>
      <c r="E9">
        <f>COUNTIFS(Posts!$C$2:$C$388,$A9,Posts!$F$2:$F$388,E$5)</f>
        <v>4</v>
      </c>
      <c r="F9">
        <f>COUNTIFS(Posts!$C$2:$C$388,$A9,Posts!$F$2:$F$388,F$5)</f>
        <v>2</v>
      </c>
      <c r="G9">
        <f>COUNTIFS(Posts!$C$2:$C$388,$A9,Posts!$F$2:$F$388,G$5)</f>
        <v>3</v>
      </c>
      <c r="H9">
        <f>COUNTIFS(Posts!$C$2:$C$388,$A9,Posts!$F$2:$F$388,H$5)</f>
        <v>4</v>
      </c>
      <c r="I9">
        <f>COUNTIFS(Posts!$C$2:$C$388,$A9,Posts!$F$2:$F$388,I$5)</f>
        <v>4</v>
      </c>
      <c r="J9">
        <f>COUNTIFS(Posts!$C$2:$C$388,$A9,Posts!$F$2:$F$388,J$5)</f>
        <v>4</v>
      </c>
      <c r="K9">
        <f>COUNTIFS(Posts!$C$2:$C$388,$A9,Posts!$F$2:$F$388,K$5)</f>
        <v>3</v>
      </c>
      <c r="L9">
        <f>SUM(B9:K9)</f>
        <v>40</v>
      </c>
    </row>
    <row r="10">
      <c r="A10" t="s">
        <v>46</v>
      </c>
      <c r="B10">
        <f>COUNTIFS(Posts!$C$2:$C$388,$A10,Posts!$F$2:$F$388,B$5)</f>
        <v>6</v>
      </c>
      <c r="C10">
        <f>COUNTIFS(Posts!$C$2:$C$388,$A10,Posts!$F$2:$F$388,C$5)</f>
        <v>6</v>
      </c>
      <c r="D10">
        <f>COUNTIFS(Posts!$C$2:$C$388,$A10,Posts!$F$2:$F$388,D$5)</f>
        <v>4</v>
      </c>
      <c r="E10">
        <f>COUNTIFS(Posts!$C$2:$C$388,$A10,Posts!$F$2:$F$388,E$5)</f>
        <v>4</v>
      </c>
      <c r="F10">
        <f>COUNTIFS(Posts!$C$2:$C$388,$A10,Posts!$F$2:$F$388,F$5)</f>
        <v>3</v>
      </c>
      <c r="G10">
        <f>COUNTIFS(Posts!$C$2:$C$388,$A10,Posts!$F$2:$F$388,G$5)</f>
        <v>4</v>
      </c>
      <c r="H10">
        <f>COUNTIFS(Posts!$C$2:$C$388,$A10,Posts!$F$2:$F$388,H$5)</f>
        <v>4</v>
      </c>
      <c r="I10">
        <f>COUNTIFS(Posts!$C$2:$C$388,$A10,Posts!$F$2:$F$388,I$5)</f>
        <v>4</v>
      </c>
      <c r="J10">
        <f>COUNTIFS(Posts!$C$2:$C$388,$A10,Posts!$F$2:$F$388,J$5)</f>
        <v>5</v>
      </c>
      <c r="K10">
        <f>COUNTIFS(Posts!$C$2:$C$388,$A10,Posts!$F$2:$F$388,K$5)</f>
        <v>4</v>
      </c>
      <c r="L10">
        <f>SUM(B10:K10)</f>
        <v>44</v>
      </c>
    </row>
    <row r="11">
      <c r="A11" t="s">
        <v>47</v>
      </c>
      <c r="B11">
        <f>COUNTIFS(Posts!$C$2:$C$388,$A11,Posts!$F$2:$F$388,B$5)</f>
        <v>8</v>
      </c>
      <c r="C11">
        <f>COUNTIFS(Posts!$C$2:$C$388,$A11,Posts!$F$2:$F$388,C$5)</f>
        <v>5</v>
      </c>
      <c r="D11">
        <f>COUNTIFS(Posts!$C$2:$C$388,$A11,Posts!$F$2:$F$388,D$5)</f>
        <v>4</v>
      </c>
      <c r="E11">
        <f>COUNTIFS(Posts!$C$2:$C$388,$A11,Posts!$F$2:$F$388,E$5)</f>
        <v>4</v>
      </c>
      <c r="F11">
        <f>COUNTIFS(Posts!$C$2:$C$388,$A11,Posts!$F$2:$F$388,F$5)</f>
        <v>4</v>
      </c>
      <c r="G11">
        <f>COUNTIFS(Posts!$C$2:$C$388,$A11,Posts!$F$2:$F$388,G$5)</f>
        <v>4</v>
      </c>
      <c r="H11">
        <f>COUNTIFS(Posts!$C$2:$C$388,$A11,Posts!$F$2:$F$388,H$5)</f>
        <v>3</v>
      </c>
      <c r="I11">
        <f>COUNTIFS(Posts!$C$2:$C$388,$A11,Posts!$F$2:$F$388,I$5)</f>
        <v>5</v>
      </c>
      <c r="J11">
        <f>COUNTIFS(Posts!$C$2:$C$388,$A11,Posts!$F$2:$F$388,J$5)</f>
        <v>5</v>
      </c>
      <c r="K11">
        <f>COUNTIFS(Posts!$C$2:$C$388,$A11,Posts!$F$2:$F$388,K$5)</f>
        <v>4</v>
      </c>
      <c r="L11">
        <f>SUM(B11:K11)</f>
        <v>46</v>
      </c>
    </row>
    <row r="12">
      <c r="A12" t="s">
        <v>48</v>
      </c>
      <c r="B12">
        <f>COUNTIFS(Posts!$C$2:$C$388,$A12,Posts!$F$2:$F$388,B$5)</f>
        <v>8</v>
      </c>
      <c r="C12">
        <f>COUNTIFS(Posts!$C$2:$C$388,$A12,Posts!$F$2:$F$388,C$5)</f>
        <v>6</v>
      </c>
      <c r="D12">
        <f>COUNTIFS(Posts!$C$2:$C$388,$A12,Posts!$F$2:$F$388,D$5)</f>
        <v>4</v>
      </c>
      <c r="E12">
        <f>COUNTIFS(Posts!$C$2:$C$388,$A12,Posts!$F$2:$F$388,E$5)</f>
        <v>4</v>
      </c>
      <c r="F12">
        <f>COUNTIFS(Posts!$C$2:$C$388,$A12,Posts!$F$2:$F$388,F$5)</f>
        <v>4</v>
      </c>
      <c r="G12">
        <f>COUNTIFS(Posts!$C$2:$C$388,$A12,Posts!$F$2:$F$388,G$5)</f>
        <v>6</v>
      </c>
      <c r="H12">
        <f>COUNTIFS(Posts!$C$2:$C$388,$A12,Posts!$F$2:$F$388,H$5)</f>
        <v>3</v>
      </c>
      <c r="I12">
        <f>COUNTIFS(Posts!$C$2:$C$388,$A12,Posts!$F$2:$F$388,I$5)</f>
        <v>5</v>
      </c>
      <c r="J12">
        <f>COUNTIFS(Posts!$C$2:$C$388,$A12,Posts!$F$2:$F$388,J$5)</f>
        <v>6</v>
      </c>
      <c r="K12">
        <f>COUNTIFS(Posts!$C$2:$C$388,$A12,Posts!$F$2:$F$388,K$5)</f>
        <v>4</v>
      </c>
      <c r="L12">
        <f>SUM(B12:K12)</f>
        <v>50</v>
      </c>
    </row>
    <row r="13">
      <c r="A13" t="s">
        <v>49</v>
      </c>
      <c r="B13">
        <f>COUNTIFS(Posts!$C$2:$C$388,$A13,Posts!$F$2:$F$388,B$5)</f>
        <v>9</v>
      </c>
      <c r="C13">
        <f>COUNTIFS(Posts!$C$2:$C$388,$A13,Posts!$F$2:$F$388,C$5)</f>
        <v>6</v>
      </c>
      <c r="D13">
        <f>COUNTIFS(Posts!$C$2:$C$388,$A13,Posts!$F$2:$F$388,D$5)</f>
        <v>4</v>
      </c>
      <c r="E13">
        <f>COUNTIFS(Posts!$C$2:$C$388,$A13,Posts!$F$2:$F$388,E$5)</f>
        <v>4</v>
      </c>
      <c r="F13">
        <f>COUNTIFS(Posts!$C$2:$C$388,$A13,Posts!$F$2:$F$388,F$5)</f>
        <v>4</v>
      </c>
      <c r="G13">
        <f>COUNTIFS(Posts!$C$2:$C$388,$A13,Posts!$F$2:$F$388,G$5)</f>
        <v>4</v>
      </c>
      <c r="H13">
        <f>COUNTIFS(Posts!$C$2:$C$388,$A13,Posts!$F$2:$F$388,H$5)</f>
        <v>3</v>
      </c>
      <c r="I13">
        <f>COUNTIFS(Posts!$C$2:$C$388,$A13,Posts!$F$2:$F$388,I$5)</f>
        <v>6</v>
      </c>
      <c r="J13">
        <f>COUNTIFS(Posts!$C$2:$C$388,$A13,Posts!$F$2:$F$388,J$5)</f>
        <v>6</v>
      </c>
      <c r="K13">
        <f>COUNTIFS(Posts!$C$2:$C$388,$A13,Posts!$F$2:$F$388,K$5)</f>
        <v>4</v>
      </c>
      <c r="L13">
        <f>SUM(B13:K13)</f>
        <v>50</v>
      </c>
    </row>
    <row r="14">
      <c r="A14" t="s">
        <v>50</v>
      </c>
      <c r="B14">
        <f>COUNTIFS(Posts!$C$2:$C$388,$A14,Posts!$F$2:$F$388,B$5)</f>
        <v>10</v>
      </c>
      <c r="C14">
        <f>COUNTIFS(Posts!$C$2:$C$388,$A14,Posts!$F$2:$F$388,C$5)</f>
        <v>6</v>
      </c>
      <c r="D14">
        <f>COUNTIFS(Posts!$C$2:$C$388,$A14,Posts!$F$2:$F$388,D$5)</f>
        <v>3</v>
      </c>
      <c r="E14">
        <f>COUNTIFS(Posts!$C$2:$C$388,$A14,Posts!$F$2:$F$388,E$5)</f>
        <v>4</v>
      </c>
      <c r="F14">
        <f>COUNTIFS(Posts!$C$2:$C$388,$A14,Posts!$F$2:$F$388,F$5)</f>
        <v>4</v>
      </c>
      <c r="G14">
        <f>COUNTIFS(Posts!$C$2:$C$388,$A14,Posts!$F$2:$F$388,G$5)</f>
        <v>4</v>
      </c>
      <c r="H14">
        <f>COUNTIFS(Posts!$C$2:$C$388,$A14,Posts!$F$2:$F$388,H$5)</f>
        <v>3</v>
      </c>
      <c r="I14">
        <f>COUNTIFS(Posts!$C$2:$C$388,$A14,Posts!$F$2:$F$388,I$5)</f>
        <v>6</v>
      </c>
      <c r="J14">
        <f>COUNTIFS(Posts!$C$2:$C$388,$A14,Posts!$F$2:$F$388,J$5)</f>
        <v>6</v>
      </c>
      <c r="K14">
        <f>COUNTIFS(Posts!$C$2:$C$388,$A14,Posts!$F$2:$F$388,K$5)</f>
        <v>4</v>
      </c>
      <c r="L14">
        <f>SUM(B14:K14)</f>
        <v>50</v>
      </c>
    </row>
    <row r="15">
      <c r="A15" s="10" t="s">
        <v>23</v>
      </c>
      <c r="B15" s="10">
        <f>SUM(B6:B14)</f>
        <v>58</v>
      </c>
      <c r="C15" s="10">
        <f>SUM(C6:C14)</f>
        <v>48</v>
      </c>
      <c r="D15" s="10">
        <f>SUM(D6:D14)</f>
        <v>40</v>
      </c>
      <c r="E15" s="10">
        <f>SUM(E6:E14)</f>
        <v>36</v>
      </c>
      <c r="F15" s="10">
        <f>SUM(F6:F14)</f>
        <v>27</v>
      </c>
      <c r="G15" s="10">
        <f>SUM(G6:G14)</f>
        <v>32</v>
      </c>
      <c r="H15" s="10">
        <f>SUM(H6:H14)</f>
        <v>32</v>
      </c>
      <c r="I15" s="10">
        <f>SUM(I6:I14)</f>
        <v>41</v>
      </c>
      <c r="J15" s="10">
        <f>SUM(J6:J14)</f>
        <v>43</v>
      </c>
      <c r="K15" s="10">
        <f>SUM(K6:K14)</f>
        <v>30</v>
      </c>
      <c r="L15" s="10">
        <f>SUM(L6:L14)</f>
        <v>387</v>
      </c>
    </row>
    <row r="17">
      <c r="A17" s="6" t="s">
        <v>51</v>
      </c>
    </row>
  </sheetData>
  <conditionalFormatting sqref="B6:K14">
    <cfRule type="colorScale" priority="1">
      <colorScale>
        <cfvo type="min"/>
        <cfvo type="max"/>
        <color rgb="FFFFFFFF"/>
        <color rgb="FF2BB3A3"/>
      </colorScale>
    </cfRule>
  </conditionalFormatting>
  <pageMargins left="0.25" right="0.25" top="0.75" bottom="0.75" header="0.30000001192092896" footer="0.30000001192092896"/>
  <pageSetup paperSize="9" fitToWidth="1" fitToHeight="1" orientation="landscape"/>
  <headerFooter>
    <oddFooter>&amp;LSignal &amp;&amp; Noise 2026 · illustrative / synthetic data&amp;RGridCraft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A8FA3"/>
  </sheetPr>
  <dimension ref="A1:K388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8.7109375" customWidth="1"/>
    <col min="2" max="4" width="11.7109375" customWidth="1"/>
    <col min="5" max="5" width="17.7109375" customWidth="1"/>
    <col min="6" max="6" width="27.7109375" customWidth="1"/>
    <col min="7" max="10" width="10.7109375" customWidth="1"/>
    <col min="11" max="11" width="80.7109375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>
      <c r="A2" t="s">
        <v>63</v>
      </c>
      <c r="B2" s="1">
        <v>46023</v>
      </c>
      <c r="C2" t="s">
        <v>42</v>
      </c>
      <c r="D2" t="s">
        <v>64</v>
      </c>
      <c r="E2" t="s">
        <v>65</v>
      </c>
      <c r="F2" t="s">
        <v>7</v>
      </c>
      <c r="G2" t="s">
        <v>30</v>
      </c>
      <c r="H2">
        <v>512</v>
      </c>
      <c r="I2">
        <v>36</v>
      </c>
      <c r="J2">
        <v>84</v>
      </c>
      <c r="K2" t="s">
        <v>66</v>
      </c>
    </row>
    <row r="3">
      <c r="A3" t="s">
        <v>67</v>
      </c>
      <c r="B3" s="1">
        <v>46025</v>
      </c>
      <c r="C3" t="s">
        <v>42</v>
      </c>
      <c r="D3" t="s">
        <v>68</v>
      </c>
      <c r="E3" t="s">
        <v>69</v>
      </c>
      <c r="F3" t="s">
        <v>10</v>
      </c>
      <c r="G3" t="s">
        <v>30</v>
      </c>
      <c r="H3">
        <v>12</v>
      </c>
      <c r="I3">
        <v>3</v>
      </c>
      <c r="J3">
        <v>1</v>
      </c>
      <c r="K3" t="s">
        <v>70</v>
      </c>
    </row>
    <row r="4">
      <c r="A4" t="s">
        <v>71</v>
      </c>
      <c r="B4" s="1">
        <v>46026</v>
      </c>
      <c r="C4" t="s">
        <v>42</v>
      </c>
      <c r="D4" t="s">
        <v>72</v>
      </c>
      <c r="E4" t="s">
        <v>73</v>
      </c>
      <c r="F4" t="s">
        <v>4</v>
      </c>
      <c r="G4" t="s">
        <v>31</v>
      </c>
      <c r="H4">
        <v>77</v>
      </c>
      <c r="I4">
        <v>5</v>
      </c>
      <c r="J4">
        <v>5</v>
      </c>
      <c r="K4" t="s">
        <v>74</v>
      </c>
    </row>
    <row r="5">
      <c r="A5" t="s">
        <v>75</v>
      </c>
      <c r="B5" s="1">
        <v>46026</v>
      </c>
      <c r="C5" t="s">
        <v>42</v>
      </c>
      <c r="D5" t="s">
        <v>68</v>
      </c>
      <c r="E5" t="s">
        <v>76</v>
      </c>
      <c r="F5" t="s">
        <v>11</v>
      </c>
      <c r="G5" t="s">
        <v>32</v>
      </c>
      <c r="H5">
        <v>144</v>
      </c>
      <c r="I5">
        <v>41</v>
      </c>
      <c r="J5">
        <v>25</v>
      </c>
      <c r="K5" t="s">
        <v>77</v>
      </c>
    </row>
    <row r="6">
      <c r="A6" t="s">
        <v>78</v>
      </c>
      <c r="B6" s="1">
        <v>46026</v>
      </c>
      <c r="C6" t="s">
        <v>42</v>
      </c>
      <c r="D6" t="s">
        <v>79</v>
      </c>
      <c r="E6" t="s">
        <v>80</v>
      </c>
      <c r="F6" t="s">
        <v>12</v>
      </c>
      <c r="G6" t="s">
        <v>30</v>
      </c>
      <c r="H6">
        <v>19</v>
      </c>
      <c r="I6">
        <v>4</v>
      </c>
      <c r="J6">
        <v>0</v>
      </c>
      <c r="K6" t="s">
        <v>81</v>
      </c>
    </row>
    <row r="7">
      <c r="A7" t="s">
        <v>82</v>
      </c>
      <c r="B7" s="1">
        <v>46029</v>
      </c>
      <c r="C7" t="s">
        <v>42</v>
      </c>
      <c r="D7" t="s">
        <v>83</v>
      </c>
      <c r="E7" t="s">
        <v>84</v>
      </c>
      <c r="F7" t="s">
        <v>10</v>
      </c>
      <c r="G7" t="s">
        <v>31</v>
      </c>
      <c r="H7">
        <v>84</v>
      </c>
      <c r="I7">
        <v>15</v>
      </c>
      <c r="J7">
        <v>16</v>
      </c>
      <c r="K7" t="s">
        <v>70</v>
      </c>
    </row>
    <row r="8">
      <c r="A8" t="s">
        <v>85</v>
      </c>
      <c r="B8" s="1">
        <v>46029</v>
      </c>
      <c r="C8" t="s">
        <v>42</v>
      </c>
      <c r="D8" t="s">
        <v>68</v>
      </c>
      <c r="E8" t="s">
        <v>86</v>
      </c>
      <c r="F8" t="s">
        <v>12</v>
      </c>
      <c r="G8" t="s">
        <v>30</v>
      </c>
      <c r="H8">
        <v>27</v>
      </c>
      <c r="I8">
        <v>2</v>
      </c>
      <c r="J8">
        <v>2</v>
      </c>
      <c r="K8" t="s">
        <v>87</v>
      </c>
    </row>
    <row r="9">
      <c r="A9" t="s">
        <v>88</v>
      </c>
      <c r="B9" s="1">
        <v>46030</v>
      </c>
      <c r="C9" t="s">
        <v>42</v>
      </c>
      <c r="D9" t="s">
        <v>64</v>
      </c>
      <c r="E9" t="s">
        <v>89</v>
      </c>
      <c r="F9" t="s">
        <v>4</v>
      </c>
      <c r="G9" t="s">
        <v>31</v>
      </c>
      <c r="H9">
        <v>41</v>
      </c>
      <c r="I9">
        <v>9</v>
      </c>
      <c r="J9">
        <v>5</v>
      </c>
      <c r="K9" t="s">
        <v>90</v>
      </c>
    </row>
    <row r="10">
      <c r="A10" t="s">
        <v>91</v>
      </c>
      <c r="B10" s="1">
        <v>46031</v>
      </c>
      <c r="C10" t="s">
        <v>42</v>
      </c>
      <c r="D10" t="s">
        <v>72</v>
      </c>
      <c r="E10" t="s">
        <v>92</v>
      </c>
      <c r="F10" t="s">
        <v>5</v>
      </c>
      <c r="G10" t="s">
        <v>32</v>
      </c>
      <c r="H10">
        <v>22</v>
      </c>
      <c r="I10">
        <v>4</v>
      </c>
      <c r="J10">
        <v>1</v>
      </c>
      <c r="K10" t="s">
        <v>93</v>
      </c>
    </row>
    <row r="11">
      <c r="A11" t="s">
        <v>94</v>
      </c>
      <c r="B11" s="1">
        <v>46031</v>
      </c>
      <c r="C11" t="s">
        <v>42</v>
      </c>
      <c r="D11" t="s">
        <v>83</v>
      </c>
      <c r="E11" t="s">
        <v>95</v>
      </c>
      <c r="F11" t="s">
        <v>10</v>
      </c>
      <c r="G11" t="s">
        <v>31</v>
      </c>
      <c r="H11">
        <v>151</v>
      </c>
      <c r="I11">
        <v>25</v>
      </c>
      <c r="J11">
        <v>12</v>
      </c>
      <c r="K11" t="s">
        <v>96</v>
      </c>
    </row>
    <row r="12">
      <c r="A12" t="s">
        <v>97</v>
      </c>
      <c r="B12" s="1">
        <v>46032</v>
      </c>
      <c r="C12" t="s">
        <v>42</v>
      </c>
      <c r="D12" t="s">
        <v>64</v>
      </c>
      <c r="E12" t="s">
        <v>98</v>
      </c>
      <c r="F12" t="s">
        <v>8</v>
      </c>
      <c r="G12" t="s">
        <v>31</v>
      </c>
      <c r="H12">
        <v>33</v>
      </c>
      <c r="I12">
        <v>8</v>
      </c>
      <c r="J12">
        <v>4</v>
      </c>
      <c r="K12" t="s">
        <v>99</v>
      </c>
    </row>
    <row r="13">
      <c r="A13" t="s">
        <v>100</v>
      </c>
      <c r="B13" s="1">
        <v>46033</v>
      </c>
      <c r="C13" t="s">
        <v>42</v>
      </c>
      <c r="D13" t="s">
        <v>83</v>
      </c>
      <c r="E13" t="s">
        <v>101</v>
      </c>
      <c r="F13" t="s">
        <v>13</v>
      </c>
      <c r="G13" t="s">
        <v>32</v>
      </c>
      <c r="H13">
        <v>132</v>
      </c>
      <c r="I13">
        <v>37</v>
      </c>
      <c r="J13">
        <v>11</v>
      </c>
      <c r="K13" t="s">
        <v>102</v>
      </c>
    </row>
    <row r="14">
      <c r="A14" t="s">
        <v>103</v>
      </c>
      <c r="B14" s="1">
        <v>46035</v>
      </c>
      <c r="C14" t="s">
        <v>42</v>
      </c>
      <c r="D14" t="s">
        <v>104</v>
      </c>
      <c r="E14" t="s">
        <v>105</v>
      </c>
      <c r="F14" t="s">
        <v>8</v>
      </c>
      <c r="G14" t="s">
        <v>31</v>
      </c>
      <c r="H14">
        <v>20</v>
      </c>
      <c r="I14">
        <v>2</v>
      </c>
      <c r="J14">
        <v>3</v>
      </c>
      <c r="K14" t="s">
        <v>106</v>
      </c>
    </row>
    <row r="15">
      <c r="A15" t="s">
        <v>107</v>
      </c>
      <c r="B15" s="1">
        <v>46036</v>
      </c>
      <c r="C15" t="s">
        <v>42</v>
      </c>
      <c r="D15" t="s">
        <v>68</v>
      </c>
      <c r="E15" t="s">
        <v>108</v>
      </c>
      <c r="F15" t="s">
        <v>11</v>
      </c>
      <c r="G15" t="s">
        <v>32</v>
      </c>
      <c r="H15">
        <v>411</v>
      </c>
      <c r="I15">
        <v>119</v>
      </c>
      <c r="J15">
        <v>36</v>
      </c>
      <c r="K15" t="s">
        <v>77</v>
      </c>
    </row>
    <row r="16">
      <c r="A16" t="s">
        <v>109</v>
      </c>
      <c r="B16" s="1">
        <v>46036</v>
      </c>
      <c r="C16" t="s">
        <v>42</v>
      </c>
      <c r="D16" t="s">
        <v>64</v>
      </c>
      <c r="E16" t="s">
        <v>110</v>
      </c>
      <c r="F16" t="s">
        <v>13</v>
      </c>
      <c r="G16" t="s">
        <v>30</v>
      </c>
      <c r="H16">
        <v>34</v>
      </c>
      <c r="I16">
        <v>2</v>
      </c>
      <c r="J16">
        <v>4</v>
      </c>
      <c r="K16" t="s">
        <v>111</v>
      </c>
    </row>
    <row r="17">
      <c r="A17" t="s">
        <v>112</v>
      </c>
      <c r="B17" s="1">
        <v>46037</v>
      </c>
      <c r="C17" t="s">
        <v>42</v>
      </c>
      <c r="D17" t="s">
        <v>79</v>
      </c>
      <c r="E17" t="s">
        <v>113</v>
      </c>
      <c r="F17" t="s">
        <v>6</v>
      </c>
      <c r="G17" t="s">
        <v>31</v>
      </c>
      <c r="H17">
        <v>194</v>
      </c>
      <c r="I17">
        <v>54</v>
      </c>
      <c r="J17">
        <v>11</v>
      </c>
      <c r="K17" t="s">
        <v>114</v>
      </c>
    </row>
    <row r="18">
      <c r="A18" t="s">
        <v>115</v>
      </c>
      <c r="B18" s="1">
        <v>46038</v>
      </c>
      <c r="C18" t="s">
        <v>42</v>
      </c>
      <c r="D18" t="s">
        <v>64</v>
      </c>
      <c r="E18" t="s">
        <v>116</v>
      </c>
      <c r="F18" t="s">
        <v>7</v>
      </c>
      <c r="G18" t="s">
        <v>32</v>
      </c>
      <c r="H18">
        <v>200</v>
      </c>
      <c r="I18">
        <v>19</v>
      </c>
      <c r="J18">
        <v>35</v>
      </c>
      <c r="K18" t="s">
        <v>117</v>
      </c>
    </row>
    <row r="19">
      <c r="A19" t="s">
        <v>118</v>
      </c>
      <c r="B19" s="1">
        <v>46039</v>
      </c>
      <c r="C19" t="s">
        <v>42</v>
      </c>
      <c r="D19" t="s">
        <v>72</v>
      </c>
      <c r="E19" t="s">
        <v>119</v>
      </c>
      <c r="F19" t="s">
        <v>5</v>
      </c>
      <c r="G19" t="s">
        <v>32</v>
      </c>
      <c r="H19">
        <v>74</v>
      </c>
      <c r="I19">
        <v>14</v>
      </c>
      <c r="J19">
        <v>11</v>
      </c>
      <c r="K19" t="s">
        <v>93</v>
      </c>
    </row>
    <row r="20">
      <c r="A20" t="s">
        <v>120</v>
      </c>
      <c r="B20" s="1">
        <v>46039</v>
      </c>
      <c r="C20" t="s">
        <v>42</v>
      </c>
      <c r="D20" t="s">
        <v>83</v>
      </c>
      <c r="E20" t="s">
        <v>121</v>
      </c>
      <c r="F20" t="s">
        <v>9</v>
      </c>
      <c r="G20" t="s">
        <v>30</v>
      </c>
      <c r="H20">
        <v>40</v>
      </c>
      <c r="I20">
        <v>3</v>
      </c>
      <c r="J20">
        <v>7</v>
      </c>
      <c r="K20" t="s">
        <v>122</v>
      </c>
    </row>
    <row r="21">
      <c r="A21" t="s">
        <v>123</v>
      </c>
      <c r="B21" s="1">
        <v>46040</v>
      </c>
      <c r="C21" t="s">
        <v>42</v>
      </c>
      <c r="D21" t="s">
        <v>83</v>
      </c>
      <c r="E21" t="s">
        <v>124</v>
      </c>
      <c r="F21" t="s">
        <v>4</v>
      </c>
      <c r="G21" t="s">
        <v>31</v>
      </c>
      <c r="H21">
        <v>90</v>
      </c>
      <c r="I21">
        <v>21</v>
      </c>
      <c r="J21">
        <v>14</v>
      </c>
      <c r="K21" t="s">
        <v>90</v>
      </c>
    </row>
    <row r="22">
      <c r="A22" t="s">
        <v>125</v>
      </c>
      <c r="B22" s="1">
        <v>46040</v>
      </c>
      <c r="C22" t="s">
        <v>42</v>
      </c>
      <c r="D22" t="s">
        <v>79</v>
      </c>
      <c r="E22" t="s">
        <v>126</v>
      </c>
      <c r="F22" t="s">
        <v>11</v>
      </c>
      <c r="G22" t="s">
        <v>31</v>
      </c>
      <c r="H22">
        <v>71</v>
      </c>
      <c r="I22">
        <v>16</v>
      </c>
      <c r="J22">
        <v>8</v>
      </c>
      <c r="K22" t="s">
        <v>127</v>
      </c>
    </row>
    <row r="23">
      <c r="A23" t="s">
        <v>128</v>
      </c>
      <c r="B23" s="1">
        <v>46041</v>
      </c>
      <c r="C23" t="s">
        <v>42</v>
      </c>
      <c r="D23" t="s">
        <v>68</v>
      </c>
      <c r="E23" t="s">
        <v>129</v>
      </c>
      <c r="F23" t="s">
        <v>5</v>
      </c>
      <c r="G23" t="s">
        <v>31</v>
      </c>
      <c r="H23">
        <v>17</v>
      </c>
      <c r="I23">
        <v>4</v>
      </c>
      <c r="J23">
        <v>2</v>
      </c>
      <c r="K23" t="s">
        <v>130</v>
      </c>
    </row>
    <row r="24">
      <c r="A24" t="s">
        <v>131</v>
      </c>
      <c r="B24" s="1">
        <v>46041</v>
      </c>
      <c r="C24" t="s">
        <v>42</v>
      </c>
      <c r="D24" t="s">
        <v>64</v>
      </c>
      <c r="E24" t="s">
        <v>132</v>
      </c>
      <c r="F24" t="s">
        <v>12</v>
      </c>
      <c r="G24" t="s">
        <v>30</v>
      </c>
      <c r="H24">
        <v>43</v>
      </c>
      <c r="I24">
        <v>2</v>
      </c>
      <c r="J24">
        <v>4</v>
      </c>
      <c r="K24" t="s">
        <v>81</v>
      </c>
    </row>
    <row r="25">
      <c r="A25" t="s">
        <v>133</v>
      </c>
      <c r="B25" s="1">
        <v>46042</v>
      </c>
      <c r="C25" t="s">
        <v>42</v>
      </c>
      <c r="D25" t="s">
        <v>64</v>
      </c>
      <c r="E25" t="s">
        <v>134</v>
      </c>
      <c r="F25" t="s">
        <v>7</v>
      </c>
      <c r="G25" t="s">
        <v>32</v>
      </c>
      <c r="H25">
        <v>87</v>
      </c>
      <c r="I25">
        <v>11</v>
      </c>
      <c r="J25">
        <v>11</v>
      </c>
      <c r="K25" t="s">
        <v>117</v>
      </c>
    </row>
    <row r="26">
      <c r="A26" t="s">
        <v>135</v>
      </c>
      <c r="B26" s="1">
        <v>46043</v>
      </c>
      <c r="C26" t="s">
        <v>42</v>
      </c>
      <c r="D26" t="s">
        <v>79</v>
      </c>
      <c r="E26" t="s">
        <v>136</v>
      </c>
      <c r="F26" t="s">
        <v>5</v>
      </c>
      <c r="G26" t="s">
        <v>31</v>
      </c>
      <c r="H26">
        <v>7</v>
      </c>
      <c r="I26">
        <v>0</v>
      </c>
      <c r="J26">
        <v>0</v>
      </c>
      <c r="K26" t="s">
        <v>130</v>
      </c>
    </row>
    <row r="27">
      <c r="A27" t="s">
        <v>137</v>
      </c>
      <c r="B27" s="1">
        <v>46043</v>
      </c>
      <c r="C27" t="s">
        <v>42</v>
      </c>
      <c r="D27" t="s">
        <v>79</v>
      </c>
      <c r="E27" t="s">
        <v>138</v>
      </c>
      <c r="F27" t="s">
        <v>6</v>
      </c>
      <c r="G27" t="s">
        <v>31</v>
      </c>
      <c r="H27">
        <v>31</v>
      </c>
      <c r="I27">
        <v>9</v>
      </c>
      <c r="J27">
        <v>3</v>
      </c>
      <c r="K27" t="s">
        <v>139</v>
      </c>
    </row>
    <row r="28">
      <c r="A28" t="s">
        <v>140</v>
      </c>
      <c r="B28" s="1">
        <v>46044</v>
      </c>
      <c r="C28" t="s">
        <v>42</v>
      </c>
      <c r="D28" t="s">
        <v>72</v>
      </c>
      <c r="E28" t="s">
        <v>141</v>
      </c>
      <c r="F28" t="s">
        <v>6</v>
      </c>
      <c r="G28" t="s">
        <v>31</v>
      </c>
      <c r="H28">
        <v>153</v>
      </c>
      <c r="I28">
        <v>38</v>
      </c>
      <c r="J28">
        <v>15</v>
      </c>
      <c r="K28" t="s">
        <v>139</v>
      </c>
    </row>
    <row r="29">
      <c r="A29" t="s">
        <v>142</v>
      </c>
      <c r="B29" s="1">
        <v>46045</v>
      </c>
      <c r="C29" t="s">
        <v>42</v>
      </c>
      <c r="D29" t="s">
        <v>68</v>
      </c>
      <c r="E29" t="s">
        <v>143</v>
      </c>
      <c r="F29" t="s">
        <v>6</v>
      </c>
      <c r="G29" t="s">
        <v>32</v>
      </c>
      <c r="H29">
        <v>10</v>
      </c>
      <c r="I29">
        <v>1</v>
      </c>
      <c r="J29">
        <v>1</v>
      </c>
      <c r="K29" t="s">
        <v>144</v>
      </c>
    </row>
    <row r="30">
      <c r="A30" t="s">
        <v>145</v>
      </c>
      <c r="B30" s="1">
        <v>46045</v>
      </c>
      <c r="C30" t="s">
        <v>42</v>
      </c>
      <c r="D30" t="s">
        <v>79</v>
      </c>
      <c r="E30" t="s">
        <v>146</v>
      </c>
      <c r="F30" t="s">
        <v>7</v>
      </c>
      <c r="G30" t="s">
        <v>32</v>
      </c>
      <c r="H30">
        <v>77</v>
      </c>
      <c r="I30">
        <v>6</v>
      </c>
      <c r="J30">
        <v>10</v>
      </c>
      <c r="K30" t="s">
        <v>147</v>
      </c>
    </row>
    <row r="31">
      <c r="A31" t="s">
        <v>148</v>
      </c>
      <c r="B31" s="1">
        <v>46047</v>
      </c>
      <c r="C31" t="s">
        <v>42</v>
      </c>
      <c r="D31" t="s">
        <v>83</v>
      </c>
      <c r="E31" t="s">
        <v>149</v>
      </c>
      <c r="F31" t="s">
        <v>6</v>
      </c>
      <c r="G31" t="s">
        <v>32</v>
      </c>
      <c r="H31">
        <v>194</v>
      </c>
      <c r="I31">
        <v>50</v>
      </c>
      <c r="J31">
        <v>16</v>
      </c>
      <c r="K31" t="s">
        <v>144</v>
      </c>
    </row>
    <row r="32">
      <c r="A32" t="s">
        <v>150</v>
      </c>
      <c r="B32" s="1">
        <v>46048</v>
      </c>
      <c r="C32" t="s">
        <v>42</v>
      </c>
      <c r="D32" t="s">
        <v>104</v>
      </c>
      <c r="E32" t="s">
        <v>151</v>
      </c>
      <c r="F32" t="s">
        <v>9</v>
      </c>
      <c r="G32" t="s">
        <v>30</v>
      </c>
      <c r="H32">
        <v>70</v>
      </c>
      <c r="I32">
        <v>9</v>
      </c>
      <c r="J32">
        <v>9</v>
      </c>
      <c r="K32" t="s">
        <v>122</v>
      </c>
    </row>
    <row r="33">
      <c r="A33" t="s">
        <v>152</v>
      </c>
      <c r="B33" s="1">
        <v>46049</v>
      </c>
      <c r="C33" t="s">
        <v>42</v>
      </c>
      <c r="D33" t="s">
        <v>72</v>
      </c>
      <c r="E33" t="s">
        <v>153</v>
      </c>
      <c r="F33" t="s">
        <v>6</v>
      </c>
      <c r="G33" t="s">
        <v>30</v>
      </c>
      <c r="H33">
        <v>209</v>
      </c>
      <c r="I33">
        <v>20</v>
      </c>
      <c r="J33">
        <v>30</v>
      </c>
      <c r="K33" t="s">
        <v>114</v>
      </c>
    </row>
    <row r="34">
      <c r="A34" t="s">
        <v>154</v>
      </c>
      <c r="B34" s="1">
        <v>46050</v>
      </c>
      <c r="C34" t="s">
        <v>42</v>
      </c>
      <c r="D34" t="s">
        <v>104</v>
      </c>
      <c r="E34" t="s">
        <v>155</v>
      </c>
      <c r="F34" t="s">
        <v>10</v>
      </c>
      <c r="G34" t="s">
        <v>30</v>
      </c>
      <c r="H34">
        <v>53</v>
      </c>
      <c r="I34">
        <v>3</v>
      </c>
      <c r="J34">
        <v>4</v>
      </c>
      <c r="K34" t="s">
        <v>156</v>
      </c>
    </row>
    <row r="35">
      <c r="A35" t="s">
        <v>157</v>
      </c>
      <c r="B35" s="1">
        <v>46054</v>
      </c>
      <c r="C35" t="s">
        <v>43</v>
      </c>
      <c r="D35" t="s">
        <v>68</v>
      </c>
      <c r="E35" t="s">
        <v>158</v>
      </c>
      <c r="F35" t="s">
        <v>6</v>
      </c>
      <c r="G35" t="s">
        <v>30</v>
      </c>
      <c r="H35">
        <v>279</v>
      </c>
      <c r="I35">
        <v>53</v>
      </c>
      <c r="J35">
        <v>53</v>
      </c>
      <c r="K35" t="s">
        <v>114</v>
      </c>
    </row>
    <row r="36">
      <c r="A36" t="s">
        <v>159</v>
      </c>
      <c r="B36" s="1">
        <v>46055</v>
      </c>
      <c r="C36" t="s">
        <v>43</v>
      </c>
      <c r="D36" t="s">
        <v>104</v>
      </c>
      <c r="E36" t="s">
        <v>160</v>
      </c>
      <c r="F36" t="s">
        <v>12</v>
      </c>
      <c r="G36" t="s">
        <v>31</v>
      </c>
      <c r="H36">
        <v>68</v>
      </c>
      <c r="I36">
        <v>19</v>
      </c>
      <c r="J36">
        <v>7</v>
      </c>
      <c r="K36" t="s">
        <v>81</v>
      </c>
    </row>
    <row r="37">
      <c r="A37" t="s">
        <v>161</v>
      </c>
      <c r="B37" s="1">
        <v>46056</v>
      </c>
      <c r="C37" t="s">
        <v>43</v>
      </c>
      <c r="D37" t="s">
        <v>104</v>
      </c>
      <c r="E37" t="s">
        <v>162</v>
      </c>
      <c r="F37" t="s">
        <v>5</v>
      </c>
      <c r="G37" t="s">
        <v>31</v>
      </c>
      <c r="H37">
        <v>68</v>
      </c>
      <c r="I37">
        <v>14</v>
      </c>
      <c r="J37">
        <v>10</v>
      </c>
      <c r="K37" t="s">
        <v>93</v>
      </c>
    </row>
    <row r="38">
      <c r="A38" t="s">
        <v>163</v>
      </c>
      <c r="B38" s="1">
        <v>46057</v>
      </c>
      <c r="C38" t="s">
        <v>43</v>
      </c>
      <c r="D38" t="s">
        <v>72</v>
      </c>
      <c r="E38" t="s">
        <v>164</v>
      </c>
      <c r="F38" t="s">
        <v>8</v>
      </c>
      <c r="G38" t="s">
        <v>31</v>
      </c>
      <c r="H38">
        <v>39</v>
      </c>
      <c r="I38">
        <v>8</v>
      </c>
      <c r="J38">
        <v>3</v>
      </c>
      <c r="K38" t="s">
        <v>106</v>
      </c>
    </row>
    <row r="39">
      <c r="A39" t="s">
        <v>165</v>
      </c>
      <c r="B39" s="1">
        <v>46058</v>
      </c>
      <c r="C39" t="s">
        <v>43</v>
      </c>
      <c r="D39" t="s">
        <v>83</v>
      </c>
      <c r="E39" t="s">
        <v>166</v>
      </c>
      <c r="F39" t="s">
        <v>10</v>
      </c>
      <c r="G39" t="s">
        <v>30</v>
      </c>
      <c r="H39">
        <v>155</v>
      </c>
      <c r="I39">
        <v>40</v>
      </c>
      <c r="J39">
        <v>16</v>
      </c>
      <c r="K39" t="s">
        <v>70</v>
      </c>
    </row>
    <row r="40">
      <c r="A40" t="s">
        <v>167</v>
      </c>
      <c r="B40" s="1">
        <v>46058</v>
      </c>
      <c r="C40" t="s">
        <v>43</v>
      </c>
      <c r="D40" t="s">
        <v>64</v>
      </c>
      <c r="E40" t="s">
        <v>168</v>
      </c>
      <c r="F40" t="s">
        <v>13</v>
      </c>
      <c r="G40" t="s">
        <v>31</v>
      </c>
      <c r="H40">
        <v>16</v>
      </c>
      <c r="I40">
        <v>2</v>
      </c>
      <c r="J40">
        <v>1</v>
      </c>
      <c r="K40" t="s">
        <v>102</v>
      </c>
    </row>
    <row r="41">
      <c r="A41" t="s">
        <v>169</v>
      </c>
      <c r="B41" s="1">
        <v>46059</v>
      </c>
      <c r="C41" t="s">
        <v>43</v>
      </c>
      <c r="D41" t="s">
        <v>68</v>
      </c>
      <c r="E41" t="s">
        <v>170</v>
      </c>
      <c r="F41" t="s">
        <v>4</v>
      </c>
      <c r="G41" t="s">
        <v>30</v>
      </c>
      <c r="H41">
        <v>12</v>
      </c>
      <c r="I41">
        <v>2</v>
      </c>
      <c r="J41">
        <v>2</v>
      </c>
      <c r="K41" t="s">
        <v>171</v>
      </c>
    </row>
    <row r="42">
      <c r="A42" t="s">
        <v>172</v>
      </c>
      <c r="B42" s="1">
        <v>46059</v>
      </c>
      <c r="C42" t="s">
        <v>43</v>
      </c>
      <c r="D42" t="s">
        <v>68</v>
      </c>
      <c r="E42" t="s">
        <v>173</v>
      </c>
      <c r="F42" t="s">
        <v>5</v>
      </c>
      <c r="G42" t="s">
        <v>30</v>
      </c>
      <c r="H42">
        <v>150</v>
      </c>
      <c r="I42">
        <v>28</v>
      </c>
      <c r="J42">
        <v>27</v>
      </c>
      <c r="K42" t="s">
        <v>93</v>
      </c>
    </row>
    <row r="43">
      <c r="A43" t="s">
        <v>174</v>
      </c>
      <c r="B43" s="1">
        <v>46059</v>
      </c>
      <c r="C43" t="s">
        <v>43</v>
      </c>
      <c r="D43" t="s">
        <v>79</v>
      </c>
      <c r="E43" t="s">
        <v>175</v>
      </c>
      <c r="F43" t="s">
        <v>6</v>
      </c>
      <c r="G43" t="s">
        <v>31</v>
      </c>
      <c r="H43">
        <v>64</v>
      </c>
      <c r="I43">
        <v>8</v>
      </c>
      <c r="J43">
        <v>12</v>
      </c>
      <c r="K43" t="s">
        <v>114</v>
      </c>
    </row>
    <row r="44">
      <c r="A44" t="s">
        <v>176</v>
      </c>
      <c r="B44" s="1">
        <v>46059</v>
      </c>
      <c r="C44" t="s">
        <v>43</v>
      </c>
      <c r="D44" t="s">
        <v>64</v>
      </c>
      <c r="E44" t="s">
        <v>177</v>
      </c>
      <c r="F44" t="s">
        <v>11</v>
      </c>
      <c r="G44" t="s">
        <v>31</v>
      </c>
      <c r="H44">
        <v>99</v>
      </c>
      <c r="I44">
        <v>19</v>
      </c>
      <c r="J44">
        <v>13</v>
      </c>
      <c r="K44" t="s">
        <v>77</v>
      </c>
    </row>
    <row r="45">
      <c r="A45" t="s">
        <v>178</v>
      </c>
      <c r="B45" s="1">
        <v>46061</v>
      </c>
      <c r="C45" t="s">
        <v>43</v>
      </c>
      <c r="D45" t="s">
        <v>64</v>
      </c>
      <c r="E45" t="s">
        <v>179</v>
      </c>
      <c r="F45" t="s">
        <v>5</v>
      </c>
      <c r="G45" t="s">
        <v>30</v>
      </c>
      <c r="H45">
        <v>75</v>
      </c>
      <c r="I45">
        <v>21</v>
      </c>
      <c r="J45">
        <v>4</v>
      </c>
      <c r="K45" t="s">
        <v>180</v>
      </c>
    </row>
    <row r="46">
      <c r="A46" t="s">
        <v>181</v>
      </c>
      <c r="B46" s="1">
        <v>46063</v>
      </c>
      <c r="C46" t="s">
        <v>43</v>
      </c>
      <c r="D46" t="s">
        <v>72</v>
      </c>
      <c r="E46" t="s">
        <v>182</v>
      </c>
      <c r="F46" t="s">
        <v>4</v>
      </c>
      <c r="G46" t="s">
        <v>30</v>
      </c>
      <c r="H46">
        <v>38</v>
      </c>
      <c r="I46">
        <v>8</v>
      </c>
      <c r="J46">
        <v>6</v>
      </c>
      <c r="K46" t="s">
        <v>90</v>
      </c>
    </row>
    <row r="47">
      <c r="A47" t="s">
        <v>183</v>
      </c>
      <c r="B47" s="1">
        <v>46063</v>
      </c>
      <c r="C47" t="s">
        <v>43</v>
      </c>
      <c r="D47" t="s">
        <v>64</v>
      </c>
      <c r="E47" t="s">
        <v>184</v>
      </c>
      <c r="F47" t="s">
        <v>12</v>
      </c>
      <c r="G47" t="s">
        <v>31</v>
      </c>
      <c r="H47">
        <v>208</v>
      </c>
      <c r="I47">
        <v>39</v>
      </c>
      <c r="J47">
        <v>10</v>
      </c>
      <c r="K47" t="s">
        <v>81</v>
      </c>
    </row>
    <row r="48">
      <c r="A48" t="s">
        <v>185</v>
      </c>
      <c r="B48" s="1">
        <v>46064</v>
      </c>
      <c r="C48" t="s">
        <v>43</v>
      </c>
      <c r="D48" t="s">
        <v>79</v>
      </c>
      <c r="E48" t="s">
        <v>186</v>
      </c>
      <c r="F48" t="s">
        <v>10</v>
      </c>
      <c r="G48" t="s">
        <v>31</v>
      </c>
      <c r="H48">
        <v>65</v>
      </c>
      <c r="I48">
        <v>6</v>
      </c>
      <c r="J48">
        <v>7</v>
      </c>
      <c r="K48" t="s">
        <v>70</v>
      </c>
    </row>
    <row r="49">
      <c r="A49" t="s">
        <v>187</v>
      </c>
      <c r="B49" s="1">
        <v>46064</v>
      </c>
      <c r="C49" t="s">
        <v>43</v>
      </c>
      <c r="D49" t="s">
        <v>72</v>
      </c>
      <c r="E49" t="s">
        <v>188</v>
      </c>
      <c r="F49" t="s">
        <v>12</v>
      </c>
      <c r="G49" t="s">
        <v>30</v>
      </c>
      <c r="H49">
        <v>62</v>
      </c>
      <c r="I49">
        <v>8</v>
      </c>
      <c r="J49">
        <v>4</v>
      </c>
      <c r="K49" t="s">
        <v>81</v>
      </c>
    </row>
    <row r="50">
      <c r="A50" t="s">
        <v>189</v>
      </c>
      <c r="B50" s="1">
        <v>46065</v>
      </c>
      <c r="C50" t="s">
        <v>43</v>
      </c>
      <c r="D50" t="s">
        <v>72</v>
      </c>
      <c r="E50" t="s">
        <v>190</v>
      </c>
      <c r="F50" t="s">
        <v>6</v>
      </c>
      <c r="G50" t="s">
        <v>31</v>
      </c>
      <c r="H50">
        <v>45</v>
      </c>
      <c r="I50">
        <v>12</v>
      </c>
      <c r="J50">
        <v>6</v>
      </c>
      <c r="K50" t="s">
        <v>144</v>
      </c>
    </row>
    <row r="51">
      <c r="A51" t="s">
        <v>191</v>
      </c>
      <c r="B51" s="1">
        <v>46065</v>
      </c>
      <c r="C51" t="s">
        <v>43</v>
      </c>
      <c r="D51" t="s">
        <v>72</v>
      </c>
      <c r="E51" t="s">
        <v>192</v>
      </c>
      <c r="F51" t="s">
        <v>10</v>
      </c>
      <c r="G51" t="s">
        <v>31</v>
      </c>
      <c r="H51">
        <v>154</v>
      </c>
      <c r="I51">
        <v>13</v>
      </c>
      <c r="J51">
        <v>24</v>
      </c>
      <c r="K51" t="s">
        <v>70</v>
      </c>
    </row>
    <row r="52">
      <c r="A52" t="s">
        <v>193</v>
      </c>
      <c r="B52" s="1">
        <v>46066</v>
      </c>
      <c r="C52" t="s">
        <v>43</v>
      </c>
      <c r="D52" t="s">
        <v>72</v>
      </c>
      <c r="E52" t="s">
        <v>194</v>
      </c>
      <c r="F52" t="s">
        <v>13</v>
      </c>
      <c r="G52" t="s">
        <v>31</v>
      </c>
      <c r="H52">
        <v>18</v>
      </c>
      <c r="I52">
        <v>1</v>
      </c>
      <c r="J52">
        <v>2</v>
      </c>
      <c r="K52" t="s">
        <v>102</v>
      </c>
    </row>
    <row r="53">
      <c r="A53" t="s">
        <v>195</v>
      </c>
      <c r="B53" s="1">
        <v>46067</v>
      </c>
      <c r="C53" t="s">
        <v>43</v>
      </c>
      <c r="D53" t="s">
        <v>68</v>
      </c>
      <c r="E53" t="s">
        <v>196</v>
      </c>
      <c r="F53" t="s">
        <v>5</v>
      </c>
      <c r="G53" t="s">
        <v>30</v>
      </c>
      <c r="H53">
        <v>52</v>
      </c>
      <c r="I53">
        <v>12</v>
      </c>
      <c r="J53">
        <v>7</v>
      </c>
      <c r="K53" t="s">
        <v>93</v>
      </c>
    </row>
    <row r="54">
      <c r="A54" t="s">
        <v>197</v>
      </c>
      <c r="B54" s="1">
        <v>46067</v>
      </c>
      <c r="C54" t="s">
        <v>43</v>
      </c>
      <c r="D54" t="s">
        <v>64</v>
      </c>
      <c r="E54" t="s">
        <v>198</v>
      </c>
      <c r="F54" t="s">
        <v>6</v>
      </c>
      <c r="G54" t="s">
        <v>31</v>
      </c>
      <c r="H54">
        <v>21</v>
      </c>
      <c r="I54">
        <v>4</v>
      </c>
      <c r="J54">
        <v>1</v>
      </c>
      <c r="K54" t="s">
        <v>144</v>
      </c>
    </row>
    <row r="55">
      <c r="A55" t="s">
        <v>199</v>
      </c>
      <c r="B55" s="1">
        <v>46068</v>
      </c>
      <c r="C55" t="s">
        <v>43</v>
      </c>
      <c r="D55" t="s">
        <v>83</v>
      </c>
      <c r="E55" t="s">
        <v>200</v>
      </c>
      <c r="F55" t="s">
        <v>4</v>
      </c>
      <c r="G55" t="s">
        <v>32</v>
      </c>
      <c r="H55">
        <v>528</v>
      </c>
      <c r="I55">
        <v>140</v>
      </c>
      <c r="J55">
        <v>77</v>
      </c>
      <c r="K55" t="s">
        <v>90</v>
      </c>
    </row>
    <row r="56">
      <c r="A56" t="s">
        <v>201</v>
      </c>
      <c r="B56" s="1">
        <v>46070</v>
      </c>
      <c r="C56" t="s">
        <v>43</v>
      </c>
      <c r="D56" t="s">
        <v>79</v>
      </c>
      <c r="E56" t="s">
        <v>202</v>
      </c>
      <c r="F56" t="s">
        <v>7</v>
      </c>
      <c r="G56" t="s">
        <v>32</v>
      </c>
      <c r="H56">
        <v>24</v>
      </c>
      <c r="I56">
        <v>4</v>
      </c>
      <c r="J56">
        <v>1</v>
      </c>
      <c r="K56" t="s">
        <v>147</v>
      </c>
    </row>
    <row r="57">
      <c r="A57" t="s">
        <v>203</v>
      </c>
      <c r="B57" s="1">
        <v>46071</v>
      </c>
      <c r="C57" t="s">
        <v>43</v>
      </c>
      <c r="D57" t="s">
        <v>68</v>
      </c>
      <c r="E57" t="s">
        <v>204</v>
      </c>
      <c r="F57" t="s">
        <v>9</v>
      </c>
      <c r="G57" t="s">
        <v>30</v>
      </c>
      <c r="H57">
        <v>17</v>
      </c>
      <c r="I57">
        <v>4</v>
      </c>
      <c r="J57">
        <v>1</v>
      </c>
      <c r="K57" t="s">
        <v>205</v>
      </c>
    </row>
    <row r="58">
      <c r="A58" t="s">
        <v>206</v>
      </c>
      <c r="B58" s="1">
        <v>46074</v>
      </c>
      <c r="C58" t="s">
        <v>43</v>
      </c>
      <c r="D58" t="s">
        <v>64</v>
      </c>
      <c r="E58" t="s">
        <v>207</v>
      </c>
      <c r="F58" t="s">
        <v>7</v>
      </c>
      <c r="G58" t="s">
        <v>32</v>
      </c>
      <c r="H58">
        <v>22</v>
      </c>
      <c r="I58">
        <v>5</v>
      </c>
      <c r="J58">
        <v>3</v>
      </c>
      <c r="K58" t="s">
        <v>66</v>
      </c>
    </row>
    <row r="59">
      <c r="A59" t="s">
        <v>208</v>
      </c>
      <c r="B59" s="1">
        <v>46074</v>
      </c>
      <c r="C59" t="s">
        <v>43</v>
      </c>
      <c r="D59" t="s">
        <v>64</v>
      </c>
      <c r="E59" t="s">
        <v>209</v>
      </c>
      <c r="F59" t="s">
        <v>8</v>
      </c>
      <c r="G59" t="s">
        <v>32</v>
      </c>
      <c r="H59">
        <v>22</v>
      </c>
      <c r="I59">
        <v>4</v>
      </c>
      <c r="J59">
        <v>2</v>
      </c>
      <c r="K59" t="s">
        <v>106</v>
      </c>
    </row>
    <row r="60">
      <c r="A60" t="s">
        <v>210</v>
      </c>
      <c r="B60" s="1">
        <v>46074</v>
      </c>
      <c r="C60" t="s">
        <v>43</v>
      </c>
      <c r="D60" t="s">
        <v>72</v>
      </c>
      <c r="E60" t="s">
        <v>211</v>
      </c>
      <c r="F60" t="s">
        <v>10</v>
      </c>
      <c r="G60" t="s">
        <v>30</v>
      </c>
      <c r="H60">
        <v>26</v>
      </c>
      <c r="I60">
        <v>4</v>
      </c>
      <c r="J60">
        <v>2</v>
      </c>
      <c r="K60" t="s">
        <v>70</v>
      </c>
    </row>
    <row r="61">
      <c r="A61" t="s">
        <v>212</v>
      </c>
      <c r="B61" s="1">
        <v>46075</v>
      </c>
      <c r="C61" t="s">
        <v>43</v>
      </c>
      <c r="D61" t="s">
        <v>64</v>
      </c>
      <c r="E61" t="s">
        <v>213</v>
      </c>
      <c r="F61" t="s">
        <v>6</v>
      </c>
      <c r="G61" t="s">
        <v>31</v>
      </c>
      <c r="H61">
        <v>41</v>
      </c>
      <c r="I61">
        <v>4</v>
      </c>
      <c r="J61">
        <v>4</v>
      </c>
      <c r="K61" t="s">
        <v>114</v>
      </c>
    </row>
    <row r="62">
      <c r="A62" t="s">
        <v>214</v>
      </c>
      <c r="B62" s="1">
        <v>46075</v>
      </c>
      <c r="C62" t="s">
        <v>43</v>
      </c>
      <c r="D62" t="s">
        <v>104</v>
      </c>
      <c r="E62" t="s">
        <v>215</v>
      </c>
      <c r="F62" t="s">
        <v>7</v>
      </c>
      <c r="G62" t="s">
        <v>30</v>
      </c>
      <c r="H62">
        <v>30</v>
      </c>
      <c r="I62">
        <v>4</v>
      </c>
      <c r="J62">
        <v>5</v>
      </c>
      <c r="K62" t="s">
        <v>147</v>
      </c>
    </row>
    <row r="63">
      <c r="A63" t="s">
        <v>216</v>
      </c>
      <c r="B63" s="1">
        <v>46076</v>
      </c>
      <c r="C63" t="s">
        <v>43</v>
      </c>
      <c r="D63" t="s">
        <v>72</v>
      </c>
      <c r="E63" t="s">
        <v>217</v>
      </c>
      <c r="F63" t="s">
        <v>11</v>
      </c>
      <c r="G63" t="s">
        <v>32</v>
      </c>
      <c r="H63">
        <v>27</v>
      </c>
      <c r="I63">
        <v>7</v>
      </c>
      <c r="J63">
        <v>4</v>
      </c>
      <c r="K63" t="s">
        <v>127</v>
      </c>
    </row>
    <row r="64">
      <c r="A64" t="s">
        <v>218</v>
      </c>
      <c r="B64" s="1">
        <v>46076</v>
      </c>
      <c r="C64" t="s">
        <v>43</v>
      </c>
      <c r="D64" t="s">
        <v>104</v>
      </c>
      <c r="E64" t="s">
        <v>219</v>
      </c>
      <c r="F64" t="s">
        <v>12</v>
      </c>
      <c r="G64" t="s">
        <v>31</v>
      </c>
      <c r="H64">
        <v>45</v>
      </c>
      <c r="I64">
        <v>7</v>
      </c>
      <c r="J64">
        <v>5</v>
      </c>
      <c r="K64" t="s">
        <v>220</v>
      </c>
    </row>
    <row r="65">
      <c r="A65" t="s">
        <v>221</v>
      </c>
      <c r="B65" s="1">
        <v>46077</v>
      </c>
      <c r="C65" t="s">
        <v>43</v>
      </c>
      <c r="D65" t="s">
        <v>68</v>
      </c>
      <c r="E65" t="s">
        <v>222</v>
      </c>
      <c r="F65" t="s">
        <v>7</v>
      </c>
      <c r="G65" t="s">
        <v>30</v>
      </c>
      <c r="H65">
        <v>45</v>
      </c>
      <c r="I65">
        <v>2</v>
      </c>
      <c r="J65">
        <v>2</v>
      </c>
      <c r="K65" t="s">
        <v>147</v>
      </c>
    </row>
    <row r="66">
      <c r="A66" t="s">
        <v>223</v>
      </c>
      <c r="B66" s="1">
        <v>46078</v>
      </c>
      <c r="C66" t="s">
        <v>43</v>
      </c>
      <c r="D66" t="s">
        <v>83</v>
      </c>
      <c r="E66" t="s">
        <v>224</v>
      </c>
      <c r="F66" t="s">
        <v>4</v>
      </c>
      <c r="G66" t="s">
        <v>30</v>
      </c>
      <c r="H66">
        <v>301</v>
      </c>
      <c r="I66">
        <v>40</v>
      </c>
      <c r="J66">
        <v>37</v>
      </c>
      <c r="K66" t="s">
        <v>171</v>
      </c>
    </row>
    <row r="67">
      <c r="A67" t="s">
        <v>225</v>
      </c>
      <c r="B67" s="1">
        <v>46079</v>
      </c>
      <c r="C67" t="s">
        <v>43</v>
      </c>
      <c r="D67" t="s">
        <v>83</v>
      </c>
      <c r="E67" t="s">
        <v>226</v>
      </c>
      <c r="F67" t="s">
        <v>9</v>
      </c>
      <c r="G67" t="s">
        <v>31</v>
      </c>
      <c r="H67">
        <v>20</v>
      </c>
      <c r="I67">
        <v>1</v>
      </c>
      <c r="J67">
        <v>2</v>
      </c>
      <c r="K67" t="s">
        <v>227</v>
      </c>
    </row>
    <row r="68">
      <c r="A68" t="s">
        <v>228</v>
      </c>
      <c r="B68" s="1">
        <v>46080</v>
      </c>
      <c r="C68" t="s">
        <v>43</v>
      </c>
      <c r="D68" t="s">
        <v>79</v>
      </c>
      <c r="E68" t="s">
        <v>229</v>
      </c>
      <c r="F68" t="s">
        <v>11</v>
      </c>
      <c r="G68" t="s">
        <v>32</v>
      </c>
      <c r="H68">
        <v>70</v>
      </c>
      <c r="I68">
        <v>14</v>
      </c>
      <c r="J68">
        <v>2</v>
      </c>
      <c r="K68" t="s">
        <v>127</v>
      </c>
    </row>
    <row r="69">
      <c r="A69" t="s">
        <v>230</v>
      </c>
      <c r="B69" s="1">
        <v>46081</v>
      </c>
      <c r="C69" t="s">
        <v>43</v>
      </c>
      <c r="D69" t="s">
        <v>83</v>
      </c>
      <c r="E69" t="s">
        <v>231</v>
      </c>
      <c r="F69" t="s">
        <v>6</v>
      </c>
      <c r="G69" t="s">
        <v>31</v>
      </c>
      <c r="H69">
        <v>21</v>
      </c>
      <c r="I69">
        <v>3</v>
      </c>
      <c r="J69">
        <v>1</v>
      </c>
      <c r="K69" t="s">
        <v>144</v>
      </c>
    </row>
    <row r="70">
      <c r="A70" t="s">
        <v>232</v>
      </c>
      <c r="B70" s="1">
        <v>46081</v>
      </c>
      <c r="C70" t="s">
        <v>43</v>
      </c>
      <c r="D70" t="s">
        <v>83</v>
      </c>
      <c r="E70" t="s">
        <v>233</v>
      </c>
      <c r="F70" t="s">
        <v>11</v>
      </c>
      <c r="G70" t="s">
        <v>31</v>
      </c>
      <c r="H70">
        <v>26</v>
      </c>
      <c r="I70">
        <v>3</v>
      </c>
      <c r="J70">
        <v>3</v>
      </c>
      <c r="K70" t="s">
        <v>127</v>
      </c>
    </row>
    <row r="71">
      <c r="A71" t="s">
        <v>234</v>
      </c>
      <c r="B71" s="1">
        <v>46085</v>
      </c>
      <c r="C71" t="s">
        <v>44</v>
      </c>
      <c r="D71" t="s">
        <v>83</v>
      </c>
      <c r="E71" t="s">
        <v>235</v>
      </c>
      <c r="F71" t="s">
        <v>8</v>
      </c>
      <c r="G71" t="s">
        <v>31</v>
      </c>
      <c r="H71">
        <v>101</v>
      </c>
      <c r="I71">
        <v>8</v>
      </c>
      <c r="J71">
        <v>8</v>
      </c>
      <c r="K71" t="s">
        <v>106</v>
      </c>
    </row>
    <row r="72">
      <c r="A72" t="s">
        <v>236</v>
      </c>
      <c r="B72" s="1">
        <v>46085</v>
      </c>
      <c r="C72" t="s">
        <v>44</v>
      </c>
      <c r="D72" t="s">
        <v>68</v>
      </c>
      <c r="E72" t="s">
        <v>237</v>
      </c>
      <c r="F72" t="s">
        <v>10</v>
      </c>
      <c r="G72" t="s">
        <v>30</v>
      </c>
      <c r="H72">
        <v>39</v>
      </c>
      <c r="I72">
        <v>3</v>
      </c>
      <c r="J72">
        <v>3</v>
      </c>
      <c r="K72" t="s">
        <v>156</v>
      </c>
    </row>
    <row r="73">
      <c r="A73" t="s">
        <v>238</v>
      </c>
      <c r="B73" s="1">
        <v>46086</v>
      </c>
      <c r="C73" t="s">
        <v>44</v>
      </c>
      <c r="D73" t="s">
        <v>83</v>
      </c>
      <c r="E73" t="s">
        <v>239</v>
      </c>
      <c r="F73" t="s">
        <v>5</v>
      </c>
      <c r="G73" t="s">
        <v>30</v>
      </c>
      <c r="H73">
        <v>252</v>
      </c>
      <c r="I73">
        <v>55</v>
      </c>
      <c r="J73">
        <v>25</v>
      </c>
      <c r="K73" t="s">
        <v>130</v>
      </c>
    </row>
    <row r="74">
      <c r="A74" t="s">
        <v>240</v>
      </c>
      <c r="B74" s="1">
        <v>46086</v>
      </c>
      <c r="C74" t="s">
        <v>44</v>
      </c>
      <c r="D74" t="s">
        <v>72</v>
      </c>
      <c r="E74" t="s">
        <v>241</v>
      </c>
      <c r="F74" t="s">
        <v>9</v>
      </c>
      <c r="G74" t="s">
        <v>32</v>
      </c>
      <c r="H74">
        <v>13</v>
      </c>
      <c r="I74">
        <v>2</v>
      </c>
      <c r="J74">
        <v>0</v>
      </c>
      <c r="K74" t="s">
        <v>122</v>
      </c>
    </row>
    <row r="75">
      <c r="A75" t="s">
        <v>242</v>
      </c>
      <c r="B75" s="1">
        <v>46086</v>
      </c>
      <c r="C75" t="s">
        <v>44</v>
      </c>
      <c r="D75" t="s">
        <v>79</v>
      </c>
      <c r="E75" t="s">
        <v>243</v>
      </c>
      <c r="F75" t="s">
        <v>12</v>
      </c>
      <c r="G75" t="s">
        <v>31</v>
      </c>
      <c r="H75">
        <v>19</v>
      </c>
      <c r="I75">
        <v>1</v>
      </c>
      <c r="J75">
        <v>3</v>
      </c>
      <c r="K75" t="s">
        <v>220</v>
      </c>
    </row>
    <row r="76">
      <c r="A76" t="s">
        <v>244</v>
      </c>
      <c r="B76" s="1">
        <v>46087</v>
      </c>
      <c r="C76" t="s">
        <v>44</v>
      </c>
      <c r="D76" t="s">
        <v>64</v>
      </c>
      <c r="E76" t="s">
        <v>245</v>
      </c>
      <c r="F76" t="s">
        <v>10</v>
      </c>
      <c r="G76" t="s">
        <v>30</v>
      </c>
      <c r="H76">
        <v>193</v>
      </c>
      <c r="I76">
        <v>36</v>
      </c>
      <c r="J76">
        <v>6</v>
      </c>
      <c r="K76" t="s">
        <v>96</v>
      </c>
    </row>
    <row r="77">
      <c r="A77" t="s">
        <v>246</v>
      </c>
      <c r="B77" s="1">
        <v>46087</v>
      </c>
      <c r="C77" t="s">
        <v>44</v>
      </c>
      <c r="D77" t="s">
        <v>79</v>
      </c>
      <c r="E77" t="s">
        <v>247</v>
      </c>
      <c r="F77" t="s">
        <v>11</v>
      </c>
      <c r="G77" t="s">
        <v>30</v>
      </c>
      <c r="H77">
        <v>32</v>
      </c>
      <c r="I77">
        <v>6</v>
      </c>
      <c r="J77">
        <v>3</v>
      </c>
      <c r="K77" t="s">
        <v>248</v>
      </c>
    </row>
    <row r="78">
      <c r="A78" t="s">
        <v>249</v>
      </c>
      <c r="B78" s="1">
        <v>46087</v>
      </c>
      <c r="C78" t="s">
        <v>44</v>
      </c>
      <c r="D78" t="s">
        <v>72</v>
      </c>
      <c r="E78" t="s">
        <v>250</v>
      </c>
      <c r="F78" t="s">
        <v>13</v>
      </c>
      <c r="G78" t="s">
        <v>32</v>
      </c>
      <c r="H78">
        <v>159</v>
      </c>
      <c r="I78">
        <v>26</v>
      </c>
      <c r="J78">
        <v>7</v>
      </c>
      <c r="K78" t="s">
        <v>111</v>
      </c>
    </row>
    <row r="79">
      <c r="A79" t="s">
        <v>251</v>
      </c>
      <c r="B79" s="1">
        <v>46088</v>
      </c>
      <c r="C79" t="s">
        <v>44</v>
      </c>
      <c r="D79" t="s">
        <v>83</v>
      </c>
      <c r="E79" t="s">
        <v>252</v>
      </c>
      <c r="F79" t="s">
        <v>4</v>
      </c>
      <c r="G79" t="s">
        <v>31</v>
      </c>
      <c r="H79">
        <v>73</v>
      </c>
      <c r="I79">
        <v>18</v>
      </c>
      <c r="J79">
        <v>5</v>
      </c>
      <c r="K79" t="s">
        <v>74</v>
      </c>
    </row>
    <row r="80">
      <c r="A80" t="s">
        <v>253</v>
      </c>
      <c r="B80" s="1">
        <v>46088</v>
      </c>
      <c r="C80" t="s">
        <v>44</v>
      </c>
      <c r="D80" t="s">
        <v>72</v>
      </c>
      <c r="E80" t="s">
        <v>254</v>
      </c>
      <c r="F80" t="s">
        <v>6</v>
      </c>
      <c r="G80" t="s">
        <v>31</v>
      </c>
      <c r="H80">
        <v>9</v>
      </c>
      <c r="I80">
        <v>1</v>
      </c>
      <c r="J80">
        <v>0</v>
      </c>
      <c r="K80" t="s">
        <v>114</v>
      </c>
    </row>
    <row r="81">
      <c r="A81" t="s">
        <v>255</v>
      </c>
      <c r="B81" s="1">
        <v>46088</v>
      </c>
      <c r="C81" t="s">
        <v>44</v>
      </c>
      <c r="D81" t="s">
        <v>64</v>
      </c>
      <c r="E81" t="s">
        <v>256</v>
      </c>
      <c r="F81" t="s">
        <v>6</v>
      </c>
      <c r="G81" t="s">
        <v>31</v>
      </c>
      <c r="H81">
        <v>30</v>
      </c>
      <c r="I81">
        <v>6</v>
      </c>
      <c r="J81">
        <v>1</v>
      </c>
      <c r="K81" t="s">
        <v>114</v>
      </c>
    </row>
    <row r="82">
      <c r="A82" t="s">
        <v>257</v>
      </c>
      <c r="B82" s="1">
        <v>46091</v>
      </c>
      <c r="C82" t="s">
        <v>44</v>
      </c>
      <c r="D82" t="s">
        <v>79</v>
      </c>
      <c r="E82" t="s">
        <v>258</v>
      </c>
      <c r="F82" t="s">
        <v>7</v>
      </c>
      <c r="G82" t="s">
        <v>31</v>
      </c>
      <c r="H82">
        <v>65</v>
      </c>
      <c r="I82">
        <v>16</v>
      </c>
      <c r="J82">
        <v>8</v>
      </c>
      <c r="K82" t="s">
        <v>117</v>
      </c>
    </row>
    <row r="83">
      <c r="A83" t="s">
        <v>259</v>
      </c>
      <c r="B83" s="1">
        <v>46092</v>
      </c>
      <c r="C83" t="s">
        <v>44</v>
      </c>
      <c r="D83" t="s">
        <v>83</v>
      </c>
      <c r="E83" t="s">
        <v>260</v>
      </c>
      <c r="F83" t="s">
        <v>4</v>
      </c>
      <c r="G83" t="s">
        <v>30</v>
      </c>
      <c r="H83">
        <v>47</v>
      </c>
      <c r="I83">
        <v>13</v>
      </c>
      <c r="J83">
        <v>8</v>
      </c>
      <c r="K83" t="s">
        <v>90</v>
      </c>
    </row>
    <row r="84">
      <c r="A84" t="s">
        <v>261</v>
      </c>
      <c r="B84" s="1">
        <v>46092</v>
      </c>
      <c r="C84" t="s">
        <v>44</v>
      </c>
      <c r="D84" t="s">
        <v>104</v>
      </c>
      <c r="E84" t="s">
        <v>262</v>
      </c>
      <c r="F84" t="s">
        <v>6</v>
      </c>
      <c r="G84" t="s">
        <v>31</v>
      </c>
      <c r="H84">
        <v>12</v>
      </c>
      <c r="I84">
        <v>2</v>
      </c>
      <c r="J84">
        <v>2</v>
      </c>
      <c r="K84" t="s">
        <v>139</v>
      </c>
    </row>
    <row r="85">
      <c r="A85" t="s">
        <v>263</v>
      </c>
      <c r="B85" s="1">
        <v>46092</v>
      </c>
      <c r="C85" t="s">
        <v>44</v>
      </c>
      <c r="D85" t="s">
        <v>72</v>
      </c>
      <c r="E85" t="s">
        <v>264</v>
      </c>
      <c r="F85" t="s">
        <v>10</v>
      </c>
      <c r="G85" t="s">
        <v>31</v>
      </c>
      <c r="H85">
        <v>294</v>
      </c>
      <c r="I85">
        <v>40</v>
      </c>
      <c r="J85">
        <v>52</v>
      </c>
      <c r="K85" t="s">
        <v>70</v>
      </c>
    </row>
    <row r="86">
      <c r="A86" t="s">
        <v>265</v>
      </c>
      <c r="B86" s="1">
        <v>46093</v>
      </c>
      <c r="C86" t="s">
        <v>44</v>
      </c>
      <c r="D86" t="s">
        <v>104</v>
      </c>
      <c r="E86" t="s">
        <v>243</v>
      </c>
      <c r="F86" t="s">
        <v>11</v>
      </c>
      <c r="G86" t="s">
        <v>31</v>
      </c>
      <c r="H86">
        <v>61</v>
      </c>
      <c r="I86">
        <v>3</v>
      </c>
      <c r="J86">
        <v>5</v>
      </c>
      <c r="K86" t="s">
        <v>77</v>
      </c>
    </row>
    <row r="87">
      <c r="A87" t="s">
        <v>266</v>
      </c>
      <c r="B87" s="1">
        <v>46094</v>
      </c>
      <c r="C87" t="s">
        <v>44</v>
      </c>
      <c r="D87" t="s">
        <v>68</v>
      </c>
      <c r="E87" t="s">
        <v>267</v>
      </c>
      <c r="F87" t="s">
        <v>7</v>
      </c>
      <c r="G87" t="s">
        <v>32</v>
      </c>
      <c r="H87">
        <v>101</v>
      </c>
      <c r="I87">
        <v>29</v>
      </c>
      <c r="J87">
        <v>4</v>
      </c>
      <c r="K87" t="s">
        <v>117</v>
      </c>
    </row>
    <row r="88">
      <c r="A88" t="s">
        <v>268</v>
      </c>
      <c r="B88" s="1">
        <v>46094</v>
      </c>
      <c r="C88" t="s">
        <v>44</v>
      </c>
      <c r="D88" t="s">
        <v>64</v>
      </c>
      <c r="E88" t="s">
        <v>269</v>
      </c>
      <c r="F88" t="s">
        <v>8</v>
      </c>
      <c r="G88" t="s">
        <v>30</v>
      </c>
      <c r="H88">
        <v>164</v>
      </c>
      <c r="I88">
        <v>38</v>
      </c>
      <c r="J88">
        <v>28</v>
      </c>
      <c r="K88" t="s">
        <v>270</v>
      </c>
    </row>
    <row r="89">
      <c r="A89" t="s">
        <v>271</v>
      </c>
      <c r="B89" s="1">
        <v>46095</v>
      </c>
      <c r="C89" t="s">
        <v>44</v>
      </c>
      <c r="D89" t="s">
        <v>104</v>
      </c>
      <c r="E89" t="s">
        <v>272</v>
      </c>
      <c r="F89" t="s">
        <v>7</v>
      </c>
      <c r="G89" t="s">
        <v>32</v>
      </c>
      <c r="H89">
        <v>269</v>
      </c>
      <c r="I89">
        <v>50</v>
      </c>
      <c r="J89">
        <v>14</v>
      </c>
      <c r="K89" t="s">
        <v>117</v>
      </c>
    </row>
    <row r="90">
      <c r="A90" t="s">
        <v>273</v>
      </c>
      <c r="B90" s="1">
        <v>46097</v>
      </c>
      <c r="C90" t="s">
        <v>44</v>
      </c>
      <c r="D90" t="s">
        <v>104</v>
      </c>
      <c r="E90" t="s">
        <v>274</v>
      </c>
      <c r="F90" t="s">
        <v>5</v>
      </c>
      <c r="G90" t="s">
        <v>31</v>
      </c>
      <c r="H90">
        <v>158</v>
      </c>
      <c r="I90">
        <v>47</v>
      </c>
      <c r="J90">
        <v>15</v>
      </c>
      <c r="K90" t="s">
        <v>180</v>
      </c>
    </row>
    <row r="91">
      <c r="A91" t="s">
        <v>275</v>
      </c>
      <c r="B91" s="1">
        <v>46097</v>
      </c>
      <c r="C91" t="s">
        <v>44</v>
      </c>
      <c r="D91" t="s">
        <v>104</v>
      </c>
      <c r="E91" t="s">
        <v>276</v>
      </c>
      <c r="F91" t="s">
        <v>6</v>
      </c>
      <c r="G91" t="s">
        <v>30</v>
      </c>
      <c r="H91">
        <v>107</v>
      </c>
      <c r="I91">
        <v>24</v>
      </c>
      <c r="J91">
        <v>11</v>
      </c>
      <c r="K91" t="s">
        <v>114</v>
      </c>
    </row>
    <row r="92">
      <c r="A92" t="s">
        <v>277</v>
      </c>
      <c r="B92" s="1">
        <v>46097</v>
      </c>
      <c r="C92" t="s">
        <v>44</v>
      </c>
      <c r="D92" t="s">
        <v>79</v>
      </c>
      <c r="E92" t="s">
        <v>278</v>
      </c>
      <c r="F92" t="s">
        <v>12</v>
      </c>
      <c r="G92" t="s">
        <v>31</v>
      </c>
      <c r="H92">
        <v>84</v>
      </c>
      <c r="I92">
        <v>11</v>
      </c>
      <c r="J92">
        <v>13</v>
      </c>
      <c r="K92" t="s">
        <v>87</v>
      </c>
    </row>
    <row r="93">
      <c r="A93" t="s">
        <v>279</v>
      </c>
      <c r="B93" s="1">
        <v>46099</v>
      </c>
      <c r="C93" t="s">
        <v>44</v>
      </c>
      <c r="D93" t="s">
        <v>104</v>
      </c>
      <c r="E93" t="s">
        <v>280</v>
      </c>
      <c r="F93" t="s">
        <v>5</v>
      </c>
      <c r="G93" t="s">
        <v>30</v>
      </c>
      <c r="H93">
        <v>104</v>
      </c>
      <c r="I93">
        <v>26</v>
      </c>
      <c r="J93">
        <v>14</v>
      </c>
      <c r="K93" t="s">
        <v>180</v>
      </c>
    </row>
    <row r="94">
      <c r="A94" t="s">
        <v>281</v>
      </c>
      <c r="B94" s="1">
        <v>46099</v>
      </c>
      <c r="C94" t="s">
        <v>44</v>
      </c>
      <c r="D94" t="s">
        <v>64</v>
      </c>
      <c r="E94" t="s">
        <v>282</v>
      </c>
      <c r="F94" t="s">
        <v>5</v>
      </c>
      <c r="G94" t="s">
        <v>30</v>
      </c>
      <c r="H94">
        <v>83</v>
      </c>
      <c r="I94">
        <v>6</v>
      </c>
      <c r="J94">
        <v>12</v>
      </c>
      <c r="K94" t="s">
        <v>93</v>
      </c>
    </row>
    <row r="95">
      <c r="A95" t="s">
        <v>283</v>
      </c>
      <c r="B95" s="1">
        <v>46099</v>
      </c>
      <c r="C95" t="s">
        <v>44</v>
      </c>
      <c r="D95" t="s">
        <v>68</v>
      </c>
      <c r="E95" t="s">
        <v>284</v>
      </c>
      <c r="F95" t="s">
        <v>7</v>
      </c>
      <c r="G95" t="s">
        <v>32</v>
      </c>
      <c r="H95">
        <v>45</v>
      </c>
      <c r="I95">
        <v>2</v>
      </c>
      <c r="J95">
        <v>5</v>
      </c>
      <c r="K95" t="s">
        <v>147</v>
      </c>
    </row>
    <row r="96">
      <c r="A96" t="s">
        <v>285</v>
      </c>
      <c r="B96" s="1">
        <v>46100</v>
      </c>
      <c r="C96" t="s">
        <v>44</v>
      </c>
      <c r="D96" t="s">
        <v>83</v>
      </c>
      <c r="E96" t="s">
        <v>286</v>
      </c>
      <c r="F96" t="s">
        <v>9</v>
      </c>
      <c r="G96" t="s">
        <v>31</v>
      </c>
      <c r="H96">
        <v>54</v>
      </c>
      <c r="I96">
        <v>8</v>
      </c>
      <c r="J96">
        <v>2</v>
      </c>
      <c r="K96" t="s">
        <v>122</v>
      </c>
    </row>
    <row r="97">
      <c r="A97" t="s">
        <v>287</v>
      </c>
      <c r="B97" s="1">
        <v>46102</v>
      </c>
      <c r="C97" t="s">
        <v>44</v>
      </c>
      <c r="D97" t="s">
        <v>104</v>
      </c>
      <c r="E97" t="s">
        <v>288</v>
      </c>
      <c r="F97" t="s">
        <v>12</v>
      </c>
      <c r="G97" t="s">
        <v>31</v>
      </c>
      <c r="H97">
        <v>84</v>
      </c>
      <c r="I97">
        <v>9</v>
      </c>
      <c r="J97">
        <v>14</v>
      </c>
      <c r="K97" t="s">
        <v>220</v>
      </c>
    </row>
    <row r="98">
      <c r="A98" t="s">
        <v>289</v>
      </c>
      <c r="B98" s="1">
        <v>46102</v>
      </c>
      <c r="C98" t="s">
        <v>44</v>
      </c>
      <c r="D98" t="s">
        <v>72</v>
      </c>
      <c r="E98" t="s">
        <v>290</v>
      </c>
      <c r="F98" t="s">
        <v>13</v>
      </c>
      <c r="G98" t="s">
        <v>31</v>
      </c>
      <c r="H98">
        <v>50</v>
      </c>
      <c r="I98">
        <v>6</v>
      </c>
      <c r="J98">
        <v>7</v>
      </c>
      <c r="K98" t="s">
        <v>102</v>
      </c>
    </row>
    <row r="99">
      <c r="A99" t="s">
        <v>291</v>
      </c>
      <c r="B99" s="1">
        <v>46103</v>
      </c>
      <c r="C99" t="s">
        <v>44</v>
      </c>
      <c r="D99" t="s">
        <v>68</v>
      </c>
      <c r="E99" t="s">
        <v>292</v>
      </c>
      <c r="F99" t="s">
        <v>4</v>
      </c>
      <c r="G99" t="s">
        <v>31</v>
      </c>
      <c r="H99">
        <v>34</v>
      </c>
      <c r="I99">
        <v>2</v>
      </c>
      <c r="J99">
        <v>3</v>
      </c>
      <c r="K99" t="s">
        <v>74</v>
      </c>
    </row>
    <row r="100">
      <c r="A100" t="s">
        <v>293</v>
      </c>
      <c r="B100" s="1">
        <v>46103</v>
      </c>
      <c r="C100" t="s">
        <v>44</v>
      </c>
      <c r="D100" t="s">
        <v>68</v>
      </c>
      <c r="E100" t="s">
        <v>294</v>
      </c>
      <c r="F100" t="s">
        <v>12</v>
      </c>
      <c r="G100" t="s">
        <v>30</v>
      </c>
      <c r="H100">
        <v>23</v>
      </c>
      <c r="I100">
        <v>4</v>
      </c>
      <c r="J100">
        <v>2</v>
      </c>
      <c r="K100" t="s">
        <v>220</v>
      </c>
    </row>
    <row r="101">
      <c r="A101" t="s">
        <v>295</v>
      </c>
      <c r="B101" s="1">
        <v>46104</v>
      </c>
      <c r="C101" t="s">
        <v>44</v>
      </c>
      <c r="D101" t="s">
        <v>79</v>
      </c>
      <c r="E101" t="s">
        <v>296</v>
      </c>
      <c r="F101" t="s">
        <v>11</v>
      </c>
      <c r="G101" t="s">
        <v>31</v>
      </c>
      <c r="H101">
        <v>78</v>
      </c>
      <c r="I101">
        <v>14</v>
      </c>
      <c r="J101">
        <v>8</v>
      </c>
      <c r="K101" t="s">
        <v>127</v>
      </c>
    </row>
    <row r="102">
      <c r="A102" t="s">
        <v>297</v>
      </c>
      <c r="B102" s="1">
        <v>46106</v>
      </c>
      <c r="C102" t="s">
        <v>44</v>
      </c>
      <c r="D102" t="s">
        <v>64</v>
      </c>
      <c r="E102" t="s">
        <v>298</v>
      </c>
      <c r="F102" t="s">
        <v>6</v>
      </c>
      <c r="G102" t="s">
        <v>30</v>
      </c>
      <c r="H102">
        <v>52</v>
      </c>
      <c r="I102">
        <v>13</v>
      </c>
      <c r="J102">
        <v>3</v>
      </c>
      <c r="K102" t="s">
        <v>114</v>
      </c>
    </row>
    <row r="103">
      <c r="A103" t="s">
        <v>299</v>
      </c>
      <c r="B103" s="1">
        <v>46106</v>
      </c>
      <c r="C103" t="s">
        <v>44</v>
      </c>
      <c r="D103" t="s">
        <v>104</v>
      </c>
      <c r="E103" t="s">
        <v>300</v>
      </c>
      <c r="F103" t="s">
        <v>13</v>
      </c>
      <c r="G103" t="s">
        <v>32</v>
      </c>
      <c r="H103">
        <v>67</v>
      </c>
      <c r="I103">
        <v>5</v>
      </c>
      <c r="J103">
        <v>3</v>
      </c>
      <c r="K103" t="s">
        <v>102</v>
      </c>
    </row>
    <row r="104">
      <c r="A104" t="s">
        <v>301</v>
      </c>
      <c r="B104" s="1">
        <v>46107</v>
      </c>
      <c r="C104" t="s">
        <v>44</v>
      </c>
      <c r="D104" t="s">
        <v>83</v>
      </c>
      <c r="E104" t="s">
        <v>302</v>
      </c>
      <c r="F104" t="s">
        <v>10</v>
      </c>
      <c r="G104" t="s">
        <v>31</v>
      </c>
      <c r="H104">
        <v>8</v>
      </c>
      <c r="I104">
        <v>1</v>
      </c>
      <c r="J104">
        <v>1</v>
      </c>
      <c r="K104" t="s">
        <v>96</v>
      </c>
    </row>
    <row r="105">
      <c r="A105" t="s">
        <v>303</v>
      </c>
      <c r="B105" s="1">
        <v>46108</v>
      </c>
      <c r="C105" t="s">
        <v>44</v>
      </c>
      <c r="D105" t="s">
        <v>68</v>
      </c>
      <c r="E105" t="s">
        <v>304</v>
      </c>
      <c r="F105" t="s">
        <v>11</v>
      </c>
      <c r="G105" t="s">
        <v>32</v>
      </c>
      <c r="H105">
        <v>142</v>
      </c>
      <c r="I105">
        <v>30</v>
      </c>
      <c r="J105">
        <v>15</v>
      </c>
      <c r="K105" t="s">
        <v>248</v>
      </c>
    </row>
    <row r="106">
      <c r="A106" t="s">
        <v>305</v>
      </c>
      <c r="B106" s="1">
        <v>46109</v>
      </c>
      <c r="C106" t="s">
        <v>44</v>
      </c>
      <c r="D106" t="s">
        <v>68</v>
      </c>
      <c r="E106" t="s">
        <v>306</v>
      </c>
      <c r="F106" t="s">
        <v>4</v>
      </c>
      <c r="G106" t="s">
        <v>31</v>
      </c>
      <c r="H106">
        <v>53</v>
      </c>
      <c r="I106">
        <v>10</v>
      </c>
      <c r="J106">
        <v>3</v>
      </c>
      <c r="K106" t="s">
        <v>171</v>
      </c>
    </row>
    <row r="107">
      <c r="A107" t="s">
        <v>307</v>
      </c>
      <c r="B107" s="1">
        <v>46109</v>
      </c>
      <c r="C107" t="s">
        <v>44</v>
      </c>
      <c r="D107" t="s">
        <v>64</v>
      </c>
      <c r="E107" t="s">
        <v>146</v>
      </c>
      <c r="F107" t="s">
        <v>5</v>
      </c>
      <c r="G107" t="s">
        <v>30</v>
      </c>
      <c r="H107">
        <v>9</v>
      </c>
      <c r="I107">
        <v>0</v>
      </c>
      <c r="J107">
        <v>1</v>
      </c>
      <c r="K107" t="s">
        <v>130</v>
      </c>
    </row>
    <row r="108">
      <c r="A108" t="s">
        <v>308</v>
      </c>
      <c r="B108" s="1">
        <v>46109</v>
      </c>
      <c r="C108" t="s">
        <v>44</v>
      </c>
      <c r="D108" t="s">
        <v>72</v>
      </c>
      <c r="E108" t="s">
        <v>309</v>
      </c>
      <c r="F108" t="s">
        <v>9</v>
      </c>
      <c r="G108" t="s">
        <v>31</v>
      </c>
      <c r="H108">
        <v>63</v>
      </c>
      <c r="I108">
        <v>10</v>
      </c>
      <c r="J108">
        <v>10</v>
      </c>
      <c r="K108" t="s">
        <v>227</v>
      </c>
    </row>
    <row r="109">
      <c r="A109" t="s">
        <v>310</v>
      </c>
      <c r="B109" s="1">
        <v>46113</v>
      </c>
      <c r="C109" t="s">
        <v>45</v>
      </c>
      <c r="D109" t="s">
        <v>83</v>
      </c>
      <c r="E109" t="s">
        <v>134</v>
      </c>
      <c r="F109" t="s">
        <v>4</v>
      </c>
      <c r="G109" t="s">
        <v>31</v>
      </c>
      <c r="H109">
        <v>60</v>
      </c>
      <c r="I109">
        <v>8</v>
      </c>
      <c r="J109">
        <v>4</v>
      </c>
      <c r="K109" t="s">
        <v>90</v>
      </c>
    </row>
    <row r="110">
      <c r="A110" t="s">
        <v>311</v>
      </c>
      <c r="B110" s="1">
        <v>46113</v>
      </c>
      <c r="C110" t="s">
        <v>45</v>
      </c>
      <c r="D110" t="s">
        <v>83</v>
      </c>
      <c r="E110" t="s">
        <v>312</v>
      </c>
      <c r="F110" t="s">
        <v>5</v>
      </c>
      <c r="G110" t="s">
        <v>31</v>
      </c>
      <c r="H110">
        <v>11</v>
      </c>
      <c r="I110">
        <v>1</v>
      </c>
      <c r="J110">
        <v>2</v>
      </c>
      <c r="K110" t="s">
        <v>180</v>
      </c>
    </row>
    <row r="111">
      <c r="A111" t="s">
        <v>313</v>
      </c>
      <c r="B111" s="1">
        <v>46114</v>
      </c>
      <c r="C111" t="s">
        <v>45</v>
      </c>
      <c r="D111" t="s">
        <v>64</v>
      </c>
      <c r="E111" t="s">
        <v>314</v>
      </c>
      <c r="F111" t="s">
        <v>10</v>
      </c>
      <c r="G111" t="s">
        <v>30</v>
      </c>
      <c r="H111">
        <v>19</v>
      </c>
      <c r="I111">
        <v>5</v>
      </c>
      <c r="J111">
        <v>2</v>
      </c>
      <c r="K111" t="s">
        <v>156</v>
      </c>
    </row>
    <row r="112">
      <c r="A112" t="s">
        <v>315</v>
      </c>
      <c r="B112" s="1">
        <v>46115</v>
      </c>
      <c r="C112" t="s">
        <v>45</v>
      </c>
      <c r="D112" t="s">
        <v>72</v>
      </c>
      <c r="E112" t="s">
        <v>316</v>
      </c>
      <c r="F112" t="s">
        <v>7</v>
      </c>
      <c r="G112" t="s">
        <v>32</v>
      </c>
      <c r="H112">
        <v>71</v>
      </c>
      <c r="I112">
        <v>9</v>
      </c>
      <c r="J112">
        <v>4</v>
      </c>
      <c r="K112" t="s">
        <v>66</v>
      </c>
    </row>
    <row r="113">
      <c r="A113" t="s">
        <v>317</v>
      </c>
      <c r="B113" s="1">
        <v>46116</v>
      </c>
      <c r="C113" t="s">
        <v>45</v>
      </c>
      <c r="D113" t="s">
        <v>72</v>
      </c>
      <c r="E113" t="s">
        <v>318</v>
      </c>
      <c r="F113" t="s">
        <v>10</v>
      </c>
      <c r="G113" t="s">
        <v>31</v>
      </c>
      <c r="H113">
        <v>6</v>
      </c>
      <c r="I113">
        <v>1</v>
      </c>
      <c r="J113">
        <v>0</v>
      </c>
      <c r="K113" t="s">
        <v>156</v>
      </c>
    </row>
    <row r="114">
      <c r="A114" t="s">
        <v>319</v>
      </c>
      <c r="B114" s="1">
        <v>46117</v>
      </c>
      <c r="C114" t="s">
        <v>45</v>
      </c>
      <c r="D114" t="s">
        <v>83</v>
      </c>
      <c r="E114" t="s">
        <v>320</v>
      </c>
      <c r="F114" t="s">
        <v>6</v>
      </c>
      <c r="G114" t="s">
        <v>31</v>
      </c>
      <c r="H114">
        <v>79</v>
      </c>
      <c r="I114">
        <v>15</v>
      </c>
      <c r="J114">
        <v>4</v>
      </c>
      <c r="K114" t="s">
        <v>144</v>
      </c>
    </row>
    <row r="115">
      <c r="A115" t="s">
        <v>321</v>
      </c>
      <c r="B115" s="1">
        <v>46117</v>
      </c>
      <c r="C115" t="s">
        <v>45</v>
      </c>
      <c r="D115" t="s">
        <v>83</v>
      </c>
      <c r="E115" t="s">
        <v>322</v>
      </c>
      <c r="F115" t="s">
        <v>6</v>
      </c>
      <c r="G115" t="s">
        <v>31</v>
      </c>
      <c r="H115">
        <v>5</v>
      </c>
      <c r="I115">
        <v>0</v>
      </c>
      <c r="J115">
        <v>0</v>
      </c>
      <c r="K115" t="s">
        <v>144</v>
      </c>
    </row>
    <row r="116">
      <c r="A116" t="s">
        <v>323</v>
      </c>
      <c r="B116" s="1">
        <v>46117</v>
      </c>
      <c r="C116" t="s">
        <v>45</v>
      </c>
      <c r="D116" t="s">
        <v>83</v>
      </c>
      <c r="E116" t="s">
        <v>324</v>
      </c>
      <c r="F116" t="s">
        <v>11</v>
      </c>
      <c r="G116" t="s">
        <v>32</v>
      </c>
      <c r="H116">
        <v>74</v>
      </c>
      <c r="I116">
        <v>17</v>
      </c>
      <c r="J116">
        <v>5</v>
      </c>
      <c r="K116" t="s">
        <v>127</v>
      </c>
    </row>
    <row r="117">
      <c r="A117" t="s">
        <v>325</v>
      </c>
      <c r="B117" s="1">
        <v>46118</v>
      </c>
      <c r="C117" t="s">
        <v>45</v>
      </c>
      <c r="D117" t="s">
        <v>72</v>
      </c>
      <c r="E117" t="s">
        <v>326</v>
      </c>
      <c r="F117" t="s">
        <v>9</v>
      </c>
      <c r="G117" t="s">
        <v>32</v>
      </c>
      <c r="H117">
        <v>42</v>
      </c>
      <c r="I117">
        <v>3</v>
      </c>
      <c r="J117">
        <v>5</v>
      </c>
      <c r="K117" t="s">
        <v>205</v>
      </c>
    </row>
    <row r="118">
      <c r="A118" t="s">
        <v>327</v>
      </c>
      <c r="B118" s="1">
        <v>46118</v>
      </c>
      <c r="C118" t="s">
        <v>45</v>
      </c>
      <c r="D118" t="s">
        <v>104</v>
      </c>
      <c r="E118" t="s">
        <v>276</v>
      </c>
      <c r="F118" t="s">
        <v>13</v>
      </c>
      <c r="G118" t="s">
        <v>30</v>
      </c>
      <c r="H118">
        <v>41</v>
      </c>
      <c r="I118">
        <v>4</v>
      </c>
      <c r="J118">
        <v>5</v>
      </c>
      <c r="K118" t="s">
        <v>328</v>
      </c>
    </row>
    <row r="119">
      <c r="A119" t="s">
        <v>329</v>
      </c>
      <c r="B119" s="1">
        <v>46119</v>
      </c>
      <c r="C119" t="s">
        <v>45</v>
      </c>
      <c r="D119" t="s">
        <v>104</v>
      </c>
      <c r="E119" t="s">
        <v>330</v>
      </c>
      <c r="F119" t="s">
        <v>13</v>
      </c>
      <c r="G119" t="s">
        <v>32</v>
      </c>
      <c r="H119">
        <v>40</v>
      </c>
      <c r="I119">
        <v>7</v>
      </c>
      <c r="J119">
        <v>5</v>
      </c>
      <c r="K119" t="s">
        <v>102</v>
      </c>
    </row>
    <row r="120">
      <c r="A120" t="s">
        <v>331</v>
      </c>
      <c r="B120" s="1">
        <v>46120</v>
      </c>
      <c r="C120" t="s">
        <v>45</v>
      </c>
      <c r="D120" t="s">
        <v>104</v>
      </c>
      <c r="E120" t="s">
        <v>332</v>
      </c>
      <c r="F120" t="s">
        <v>5</v>
      </c>
      <c r="G120" t="s">
        <v>31</v>
      </c>
      <c r="H120">
        <v>35</v>
      </c>
      <c r="I120">
        <v>5</v>
      </c>
      <c r="J120">
        <v>4</v>
      </c>
      <c r="K120" t="s">
        <v>130</v>
      </c>
    </row>
    <row r="121">
      <c r="A121" t="s">
        <v>333</v>
      </c>
      <c r="B121" s="1">
        <v>46120</v>
      </c>
      <c r="C121" t="s">
        <v>45</v>
      </c>
      <c r="D121" t="s">
        <v>79</v>
      </c>
      <c r="E121" t="s">
        <v>200</v>
      </c>
      <c r="F121" t="s">
        <v>8</v>
      </c>
      <c r="G121" t="s">
        <v>32</v>
      </c>
      <c r="H121">
        <v>72</v>
      </c>
      <c r="I121">
        <v>8</v>
      </c>
      <c r="J121">
        <v>8</v>
      </c>
      <c r="K121" t="s">
        <v>270</v>
      </c>
    </row>
    <row r="122">
      <c r="A122" t="s">
        <v>334</v>
      </c>
      <c r="B122" s="1">
        <v>46122</v>
      </c>
      <c r="C122" t="s">
        <v>45</v>
      </c>
      <c r="D122" t="s">
        <v>104</v>
      </c>
      <c r="E122" t="s">
        <v>335</v>
      </c>
      <c r="F122" t="s">
        <v>4</v>
      </c>
      <c r="G122" t="s">
        <v>31</v>
      </c>
      <c r="H122">
        <v>31</v>
      </c>
      <c r="I122">
        <v>3</v>
      </c>
      <c r="J122">
        <v>1</v>
      </c>
      <c r="K122" t="s">
        <v>74</v>
      </c>
    </row>
    <row r="123">
      <c r="A123" t="s">
        <v>336</v>
      </c>
      <c r="B123" s="1">
        <v>46123</v>
      </c>
      <c r="C123" t="s">
        <v>45</v>
      </c>
      <c r="D123" t="s">
        <v>104</v>
      </c>
      <c r="E123" t="s">
        <v>337</v>
      </c>
      <c r="F123" t="s">
        <v>12</v>
      </c>
      <c r="G123" t="s">
        <v>31</v>
      </c>
      <c r="H123">
        <v>93</v>
      </c>
      <c r="I123">
        <v>7</v>
      </c>
      <c r="J123">
        <v>10</v>
      </c>
      <c r="K123" t="s">
        <v>81</v>
      </c>
    </row>
    <row r="124">
      <c r="A124" t="s">
        <v>338</v>
      </c>
      <c r="B124" s="1">
        <v>46124</v>
      </c>
      <c r="C124" t="s">
        <v>45</v>
      </c>
      <c r="D124" t="s">
        <v>83</v>
      </c>
      <c r="E124" t="s">
        <v>339</v>
      </c>
      <c r="F124" t="s">
        <v>10</v>
      </c>
      <c r="G124" t="s">
        <v>31</v>
      </c>
      <c r="H124">
        <v>244</v>
      </c>
      <c r="I124">
        <v>30</v>
      </c>
      <c r="J124">
        <v>47</v>
      </c>
      <c r="K124" t="s">
        <v>156</v>
      </c>
    </row>
    <row r="125">
      <c r="A125" t="s">
        <v>340</v>
      </c>
      <c r="B125" s="1">
        <v>46125</v>
      </c>
      <c r="C125" t="s">
        <v>45</v>
      </c>
      <c r="D125" t="s">
        <v>104</v>
      </c>
      <c r="E125" t="s">
        <v>341</v>
      </c>
      <c r="F125" t="s">
        <v>4</v>
      </c>
      <c r="G125" t="s">
        <v>31</v>
      </c>
      <c r="H125">
        <v>31</v>
      </c>
      <c r="I125">
        <v>9</v>
      </c>
      <c r="J125">
        <v>4</v>
      </c>
      <c r="K125" t="s">
        <v>90</v>
      </c>
    </row>
    <row r="126">
      <c r="A126" t="s">
        <v>342</v>
      </c>
      <c r="B126" s="1">
        <v>46125</v>
      </c>
      <c r="C126" t="s">
        <v>45</v>
      </c>
      <c r="D126" t="s">
        <v>79</v>
      </c>
      <c r="E126" t="s">
        <v>343</v>
      </c>
      <c r="F126" t="s">
        <v>9</v>
      </c>
      <c r="G126" t="s">
        <v>30</v>
      </c>
      <c r="H126">
        <v>19</v>
      </c>
      <c r="I126">
        <v>2</v>
      </c>
      <c r="J126">
        <v>2</v>
      </c>
      <c r="K126" t="s">
        <v>227</v>
      </c>
    </row>
    <row r="127">
      <c r="A127" t="s">
        <v>344</v>
      </c>
      <c r="B127" s="1">
        <v>46125</v>
      </c>
      <c r="C127" t="s">
        <v>45</v>
      </c>
      <c r="D127" t="s">
        <v>64</v>
      </c>
      <c r="E127" t="s">
        <v>345</v>
      </c>
      <c r="F127" t="s">
        <v>12</v>
      </c>
      <c r="G127" t="s">
        <v>32</v>
      </c>
      <c r="H127">
        <v>13</v>
      </c>
      <c r="I127">
        <v>1</v>
      </c>
      <c r="J127">
        <v>0</v>
      </c>
      <c r="K127" t="s">
        <v>220</v>
      </c>
    </row>
    <row r="128">
      <c r="A128" t="s">
        <v>346</v>
      </c>
      <c r="B128" s="1">
        <v>46126</v>
      </c>
      <c r="C128" t="s">
        <v>45</v>
      </c>
      <c r="D128" t="s">
        <v>68</v>
      </c>
      <c r="E128" t="s">
        <v>347</v>
      </c>
      <c r="F128" t="s">
        <v>6</v>
      </c>
      <c r="G128" t="s">
        <v>30</v>
      </c>
      <c r="H128">
        <v>27</v>
      </c>
      <c r="I128">
        <v>2</v>
      </c>
      <c r="J128">
        <v>3</v>
      </c>
      <c r="K128" t="s">
        <v>114</v>
      </c>
    </row>
    <row r="129">
      <c r="A129" t="s">
        <v>348</v>
      </c>
      <c r="B129" s="1">
        <v>46126</v>
      </c>
      <c r="C129" t="s">
        <v>45</v>
      </c>
      <c r="D129" t="s">
        <v>79</v>
      </c>
      <c r="E129" t="s">
        <v>349</v>
      </c>
      <c r="F129" t="s">
        <v>7</v>
      </c>
      <c r="G129" t="s">
        <v>30</v>
      </c>
      <c r="H129">
        <v>124</v>
      </c>
      <c r="I129">
        <v>19</v>
      </c>
      <c r="J129">
        <v>16</v>
      </c>
      <c r="K129" t="s">
        <v>117</v>
      </c>
    </row>
    <row r="130">
      <c r="A130" t="s">
        <v>350</v>
      </c>
      <c r="B130" s="1">
        <v>46127</v>
      </c>
      <c r="C130" t="s">
        <v>45</v>
      </c>
      <c r="D130" t="s">
        <v>83</v>
      </c>
      <c r="E130" t="s">
        <v>351</v>
      </c>
      <c r="F130" t="s">
        <v>7</v>
      </c>
      <c r="G130" t="s">
        <v>30</v>
      </c>
      <c r="H130">
        <v>56</v>
      </c>
      <c r="I130">
        <v>16</v>
      </c>
      <c r="J130">
        <v>5</v>
      </c>
      <c r="K130" t="s">
        <v>147</v>
      </c>
    </row>
    <row r="131">
      <c r="A131" t="s">
        <v>352</v>
      </c>
      <c r="B131" s="1">
        <v>46127</v>
      </c>
      <c r="C131" t="s">
        <v>45</v>
      </c>
      <c r="D131" t="s">
        <v>72</v>
      </c>
      <c r="E131" t="s">
        <v>353</v>
      </c>
      <c r="F131" t="s">
        <v>8</v>
      </c>
      <c r="G131" t="s">
        <v>31</v>
      </c>
      <c r="H131">
        <v>151</v>
      </c>
      <c r="I131">
        <v>34</v>
      </c>
      <c r="J131">
        <v>24</v>
      </c>
      <c r="K131" t="s">
        <v>99</v>
      </c>
    </row>
    <row r="132">
      <c r="A132" t="s">
        <v>354</v>
      </c>
      <c r="B132" s="1">
        <v>46130</v>
      </c>
      <c r="C132" t="s">
        <v>45</v>
      </c>
      <c r="D132" t="s">
        <v>64</v>
      </c>
      <c r="E132" t="s">
        <v>355</v>
      </c>
      <c r="F132" t="s">
        <v>13</v>
      </c>
      <c r="G132" t="s">
        <v>32</v>
      </c>
      <c r="H132">
        <v>25</v>
      </c>
      <c r="I132">
        <v>4</v>
      </c>
      <c r="J132">
        <v>4</v>
      </c>
      <c r="K132" t="s">
        <v>328</v>
      </c>
    </row>
    <row r="133">
      <c r="A133" t="s">
        <v>356</v>
      </c>
      <c r="B133" s="1">
        <v>46131</v>
      </c>
      <c r="C133" t="s">
        <v>45</v>
      </c>
      <c r="D133" t="s">
        <v>83</v>
      </c>
      <c r="E133" t="s">
        <v>357</v>
      </c>
      <c r="F133" t="s">
        <v>5</v>
      </c>
      <c r="G133" t="s">
        <v>30</v>
      </c>
      <c r="H133">
        <v>28</v>
      </c>
      <c r="I133">
        <v>4</v>
      </c>
      <c r="J133">
        <v>2</v>
      </c>
      <c r="K133" t="s">
        <v>93</v>
      </c>
    </row>
    <row r="134">
      <c r="A134" t="s">
        <v>358</v>
      </c>
      <c r="B134" s="1">
        <v>46131</v>
      </c>
      <c r="C134" t="s">
        <v>45</v>
      </c>
      <c r="D134" t="s">
        <v>83</v>
      </c>
      <c r="E134" t="s">
        <v>359</v>
      </c>
      <c r="F134" t="s">
        <v>10</v>
      </c>
      <c r="G134" t="s">
        <v>30</v>
      </c>
      <c r="H134">
        <v>138</v>
      </c>
      <c r="I134">
        <v>18</v>
      </c>
      <c r="J134">
        <v>10</v>
      </c>
      <c r="K134" t="s">
        <v>156</v>
      </c>
    </row>
    <row r="135">
      <c r="A135" t="s">
        <v>360</v>
      </c>
      <c r="B135" s="1">
        <v>46132</v>
      </c>
      <c r="C135" t="s">
        <v>45</v>
      </c>
      <c r="D135" t="s">
        <v>68</v>
      </c>
      <c r="E135" t="s">
        <v>361</v>
      </c>
      <c r="F135" t="s">
        <v>4</v>
      </c>
      <c r="G135" t="s">
        <v>30</v>
      </c>
      <c r="H135">
        <v>13</v>
      </c>
      <c r="I135">
        <v>2</v>
      </c>
      <c r="J135">
        <v>2</v>
      </c>
      <c r="K135" t="s">
        <v>171</v>
      </c>
    </row>
    <row r="136">
      <c r="A136" t="s">
        <v>362</v>
      </c>
      <c r="B136" s="1">
        <v>46132</v>
      </c>
      <c r="C136" t="s">
        <v>45</v>
      </c>
      <c r="D136" t="s">
        <v>68</v>
      </c>
      <c r="E136" t="s">
        <v>363</v>
      </c>
      <c r="F136" t="s">
        <v>7</v>
      </c>
      <c r="G136" t="s">
        <v>32</v>
      </c>
      <c r="H136">
        <v>8</v>
      </c>
      <c r="I136">
        <v>1</v>
      </c>
      <c r="J136">
        <v>1</v>
      </c>
      <c r="K136" t="s">
        <v>66</v>
      </c>
    </row>
    <row r="137">
      <c r="A137" t="s">
        <v>364</v>
      </c>
      <c r="B137" s="1">
        <v>46132</v>
      </c>
      <c r="C137" t="s">
        <v>45</v>
      </c>
      <c r="D137" t="s">
        <v>68</v>
      </c>
      <c r="E137" t="s">
        <v>365</v>
      </c>
      <c r="F137" t="s">
        <v>9</v>
      </c>
      <c r="G137" t="s">
        <v>30</v>
      </c>
      <c r="H137">
        <v>133</v>
      </c>
      <c r="I137">
        <v>20</v>
      </c>
      <c r="J137">
        <v>13</v>
      </c>
      <c r="K137" t="s">
        <v>122</v>
      </c>
    </row>
    <row r="138">
      <c r="A138" t="s">
        <v>366</v>
      </c>
      <c r="B138" s="1">
        <v>46132</v>
      </c>
      <c r="C138" t="s">
        <v>45</v>
      </c>
      <c r="D138" t="s">
        <v>83</v>
      </c>
      <c r="E138" t="s">
        <v>367</v>
      </c>
      <c r="F138" t="s">
        <v>12</v>
      </c>
      <c r="G138" t="s">
        <v>31</v>
      </c>
      <c r="H138">
        <v>50</v>
      </c>
      <c r="I138">
        <v>10</v>
      </c>
      <c r="J138">
        <v>2</v>
      </c>
      <c r="K138" t="s">
        <v>81</v>
      </c>
    </row>
    <row r="139">
      <c r="A139" t="s">
        <v>368</v>
      </c>
      <c r="B139" s="1">
        <v>46133</v>
      </c>
      <c r="C139" t="s">
        <v>45</v>
      </c>
      <c r="D139" t="s">
        <v>83</v>
      </c>
      <c r="E139" t="s">
        <v>226</v>
      </c>
      <c r="F139" t="s">
        <v>5</v>
      </c>
      <c r="G139" t="s">
        <v>31</v>
      </c>
      <c r="H139">
        <v>138</v>
      </c>
      <c r="I139">
        <v>34</v>
      </c>
      <c r="J139">
        <v>16</v>
      </c>
      <c r="K139" t="s">
        <v>130</v>
      </c>
    </row>
    <row r="140">
      <c r="A140" t="s">
        <v>369</v>
      </c>
      <c r="B140" s="1">
        <v>46133</v>
      </c>
      <c r="C140" t="s">
        <v>45</v>
      </c>
      <c r="D140" t="s">
        <v>64</v>
      </c>
      <c r="E140" t="s">
        <v>370</v>
      </c>
      <c r="F140" t="s">
        <v>6</v>
      </c>
      <c r="G140" t="s">
        <v>31</v>
      </c>
      <c r="H140">
        <v>3</v>
      </c>
      <c r="I140">
        <v>0</v>
      </c>
      <c r="J140">
        <v>0</v>
      </c>
      <c r="K140" t="s">
        <v>114</v>
      </c>
    </row>
    <row r="141">
      <c r="A141" t="s">
        <v>371</v>
      </c>
      <c r="B141" s="1">
        <v>46134</v>
      </c>
      <c r="C141" t="s">
        <v>45</v>
      </c>
      <c r="D141" t="s">
        <v>68</v>
      </c>
      <c r="E141" t="s">
        <v>143</v>
      </c>
      <c r="F141" t="s">
        <v>11</v>
      </c>
      <c r="G141" t="s">
        <v>31</v>
      </c>
      <c r="H141">
        <v>84</v>
      </c>
      <c r="I141">
        <v>6</v>
      </c>
      <c r="J141">
        <v>15</v>
      </c>
      <c r="K141" t="s">
        <v>248</v>
      </c>
    </row>
    <row r="142">
      <c r="A142" t="s">
        <v>372</v>
      </c>
      <c r="B142" s="1">
        <v>46134</v>
      </c>
      <c r="C142" t="s">
        <v>45</v>
      </c>
      <c r="D142" t="s">
        <v>83</v>
      </c>
      <c r="E142" t="s">
        <v>373</v>
      </c>
      <c r="F142" t="s">
        <v>11</v>
      </c>
      <c r="G142" t="s">
        <v>30</v>
      </c>
      <c r="H142">
        <v>21</v>
      </c>
      <c r="I142">
        <v>2</v>
      </c>
      <c r="J142">
        <v>3</v>
      </c>
      <c r="K142" t="s">
        <v>248</v>
      </c>
    </row>
    <row r="143">
      <c r="A143" t="s">
        <v>374</v>
      </c>
      <c r="B143" s="1">
        <v>46135</v>
      </c>
      <c r="C143" t="s">
        <v>45</v>
      </c>
      <c r="D143" t="s">
        <v>64</v>
      </c>
      <c r="E143" t="s">
        <v>375</v>
      </c>
      <c r="F143" t="s">
        <v>11</v>
      </c>
      <c r="G143" t="s">
        <v>32</v>
      </c>
      <c r="H143">
        <v>114</v>
      </c>
      <c r="I143">
        <v>22</v>
      </c>
      <c r="J143">
        <v>17</v>
      </c>
      <c r="K143" t="s">
        <v>248</v>
      </c>
    </row>
    <row r="144">
      <c r="A144" t="s">
        <v>376</v>
      </c>
      <c r="B144" s="1">
        <v>46136</v>
      </c>
      <c r="C144" t="s">
        <v>45</v>
      </c>
      <c r="D144" t="s">
        <v>72</v>
      </c>
      <c r="E144" t="s">
        <v>377</v>
      </c>
      <c r="F144" t="s">
        <v>4</v>
      </c>
      <c r="G144" t="s">
        <v>30</v>
      </c>
      <c r="H144">
        <v>133</v>
      </c>
      <c r="I144">
        <v>16</v>
      </c>
      <c r="J144">
        <v>11</v>
      </c>
      <c r="K144" t="s">
        <v>171</v>
      </c>
    </row>
    <row r="145">
      <c r="A145" t="s">
        <v>378</v>
      </c>
      <c r="B145" s="1">
        <v>46137</v>
      </c>
      <c r="C145" t="s">
        <v>45</v>
      </c>
      <c r="D145" t="s">
        <v>64</v>
      </c>
      <c r="E145" t="s">
        <v>213</v>
      </c>
      <c r="F145" t="s">
        <v>12</v>
      </c>
      <c r="G145" t="s">
        <v>31</v>
      </c>
      <c r="H145">
        <v>56</v>
      </c>
      <c r="I145">
        <v>13</v>
      </c>
      <c r="J145">
        <v>6</v>
      </c>
      <c r="K145" t="s">
        <v>87</v>
      </c>
    </row>
    <row r="146">
      <c r="A146" t="s">
        <v>379</v>
      </c>
      <c r="B146" s="1">
        <v>46138</v>
      </c>
      <c r="C146" t="s">
        <v>45</v>
      </c>
      <c r="D146" t="s">
        <v>79</v>
      </c>
      <c r="E146" t="s">
        <v>380</v>
      </c>
      <c r="F146" t="s">
        <v>5</v>
      </c>
      <c r="G146" t="s">
        <v>32</v>
      </c>
      <c r="H146">
        <v>90</v>
      </c>
      <c r="I146">
        <v>26</v>
      </c>
      <c r="J146">
        <v>14</v>
      </c>
      <c r="K146" t="s">
        <v>93</v>
      </c>
    </row>
    <row r="147">
      <c r="A147" t="s">
        <v>381</v>
      </c>
      <c r="B147" s="1">
        <v>46139</v>
      </c>
      <c r="C147" t="s">
        <v>45</v>
      </c>
      <c r="D147" t="s">
        <v>83</v>
      </c>
      <c r="E147" t="s">
        <v>382</v>
      </c>
      <c r="F147" t="s">
        <v>5</v>
      </c>
      <c r="G147" t="s">
        <v>30</v>
      </c>
      <c r="H147">
        <v>1070</v>
      </c>
      <c r="I147">
        <v>289</v>
      </c>
      <c r="J147">
        <v>204</v>
      </c>
      <c r="K147" t="s">
        <v>130</v>
      </c>
    </row>
    <row r="148">
      <c r="A148" t="s">
        <v>383</v>
      </c>
      <c r="B148" s="1">
        <v>46140</v>
      </c>
      <c r="C148" t="s">
        <v>45</v>
      </c>
      <c r="D148" t="s">
        <v>79</v>
      </c>
      <c r="E148" t="s">
        <v>384</v>
      </c>
      <c r="F148" t="s">
        <v>4</v>
      </c>
      <c r="G148" t="s">
        <v>31</v>
      </c>
      <c r="H148">
        <v>35</v>
      </c>
      <c r="I148">
        <v>5</v>
      </c>
      <c r="J148">
        <v>4</v>
      </c>
      <c r="K148" t="s">
        <v>74</v>
      </c>
    </row>
    <row r="149">
      <c r="A149" t="s">
        <v>385</v>
      </c>
      <c r="B149" s="1">
        <v>46143</v>
      </c>
      <c r="C149" t="s">
        <v>46</v>
      </c>
      <c r="D149" t="s">
        <v>72</v>
      </c>
      <c r="E149" t="s">
        <v>386</v>
      </c>
      <c r="F149" t="s">
        <v>4</v>
      </c>
      <c r="G149" t="s">
        <v>30</v>
      </c>
      <c r="H149">
        <v>91</v>
      </c>
      <c r="I149">
        <v>10</v>
      </c>
      <c r="J149">
        <v>17</v>
      </c>
      <c r="K149" t="s">
        <v>90</v>
      </c>
    </row>
    <row r="150">
      <c r="A150" t="s">
        <v>387</v>
      </c>
      <c r="B150" s="1">
        <v>46143</v>
      </c>
      <c r="C150" t="s">
        <v>46</v>
      </c>
      <c r="D150" t="s">
        <v>79</v>
      </c>
      <c r="E150" t="s">
        <v>388</v>
      </c>
      <c r="F150" t="s">
        <v>9</v>
      </c>
      <c r="G150" t="s">
        <v>30</v>
      </c>
      <c r="H150">
        <v>203</v>
      </c>
      <c r="I150">
        <v>29</v>
      </c>
      <c r="J150">
        <v>32</v>
      </c>
      <c r="K150" t="s">
        <v>227</v>
      </c>
    </row>
    <row r="151">
      <c r="A151" t="s">
        <v>389</v>
      </c>
      <c r="B151" s="1">
        <v>46143</v>
      </c>
      <c r="C151" t="s">
        <v>46</v>
      </c>
      <c r="D151" t="s">
        <v>79</v>
      </c>
      <c r="E151" t="s">
        <v>390</v>
      </c>
      <c r="F151" t="s">
        <v>12</v>
      </c>
      <c r="G151" t="s">
        <v>31</v>
      </c>
      <c r="H151">
        <v>95</v>
      </c>
      <c r="I151">
        <v>13</v>
      </c>
      <c r="J151">
        <v>17</v>
      </c>
      <c r="K151" t="s">
        <v>87</v>
      </c>
    </row>
    <row r="152">
      <c r="A152" t="s">
        <v>391</v>
      </c>
      <c r="B152" s="1">
        <v>46144</v>
      </c>
      <c r="C152" t="s">
        <v>46</v>
      </c>
      <c r="D152" t="s">
        <v>68</v>
      </c>
      <c r="E152" t="s">
        <v>392</v>
      </c>
      <c r="F152" t="s">
        <v>4</v>
      </c>
      <c r="G152" t="s">
        <v>30</v>
      </c>
      <c r="H152">
        <v>37</v>
      </c>
      <c r="I152">
        <v>10</v>
      </c>
      <c r="J152">
        <v>2</v>
      </c>
      <c r="K152" t="s">
        <v>90</v>
      </c>
    </row>
    <row r="153">
      <c r="A153" t="s">
        <v>393</v>
      </c>
      <c r="B153" s="1">
        <v>46144</v>
      </c>
      <c r="C153" t="s">
        <v>46</v>
      </c>
      <c r="D153" t="s">
        <v>79</v>
      </c>
      <c r="E153" t="s">
        <v>394</v>
      </c>
      <c r="F153" t="s">
        <v>8</v>
      </c>
      <c r="G153" t="s">
        <v>30</v>
      </c>
      <c r="H153">
        <v>262</v>
      </c>
      <c r="I153">
        <v>16</v>
      </c>
      <c r="J153">
        <v>41</v>
      </c>
      <c r="K153" t="s">
        <v>106</v>
      </c>
    </row>
    <row r="154">
      <c r="A154" t="s">
        <v>395</v>
      </c>
      <c r="B154" s="1">
        <v>46145</v>
      </c>
      <c r="C154" t="s">
        <v>46</v>
      </c>
      <c r="D154" t="s">
        <v>79</v>
      </c>
      <c r="E154" t="s">
        <v>382</v>
      </c>
      <c r="F154" t="s">
        <v>6</v>
      </c>
      <c r="G154" t="s">
        <v>30</v>
      </c>
      <c r="H154">
        <v>15</v>
      </c>
      <c r="I154">
        <v>3</v>
      </c>
      <c r="J154">
        <v>2</v>
      </c>
      <c r="K154" t="s">
        <v>139</v>
      </c>
    </row>
    <row r="155">
      <c r="A155" t="s">
        <v>396</v>
      </c>
      <c r="B155" s="1">
        <v>46146</v>
      </c>
      <c r="C155" t="s">
        <v>46</v>
      </c>
      <c r="D155" t="s">
        <v>72</v>
      </c>
      <c r="E155" t="s">
        <v>397</v>
      </c>
      <c r="F155" t="s">
        <v>5</v>
      </c>
      <c r="G155" t="s">
        <v>30</v>
      </c>
      <c r="H155">
        <v>45</v>
      </c>
      <c r="I155">
        <v>5</v>
      </c>
      <c r="J155">
        <v>2</v>
      </c>
      <c r="K155" t="s">
        <v>93</v>
      </c>
    </row>
    <row r="156">
      <c r="A156" t="s">
        <v>398</v>
      </c>
      <c r="B156" s="1">
        <v>46146</v>
      </c>
      <c r="C156" t="s">
        <v>46</v>
      </c>
      <c r="D156" t="s">
        <v>64</v>
      </c>
      <c r="E156" t="s">
        <v>399</v>
      </c>
      <c r="F156" t="s">
        <v>5</v>
      </c>
      <c r="G156" t="s">
        <v>31</v>
      </c>
      <c r="H156">
        <v>71</v>
      </c>
      <c r="I156">
        <v>10</v>
      </c>
      <c r="J156">
        <v>11</v>
      </c>
      <c r="K156" t="s">
        <v>93</v>
      </c>
    </row>
    <row r="157">
      <c r="A157" t="s">
        <v>400</v>
      </c>
      <c r="B157" s="1">
        <v>46149</v>
      </c>
      <c r="C157" t="s">
        <v>46</v>
      </c>
      <c r="D157" t="s">
        <v>83</v>
      </c>
      <c r="E157" t="s">
        <v>182</v>
      </c>
      <c r="F157" t="s">
        <v>10</v>
      </c>
      <c r="G157" t="s">
        <v>30</v>
      </c>
      <c r="H157">
        <v>19</v>
      </c>
      <c r="I157">
        <v>5</v>
      </c>
      <c r="J157">
        <v>2</v>
      </c>
      <c r="K157" t="s">
        <v>96</v>
      </c>
    </row>
    <row r="158">
      <c r="A158" t="s">
        <v>401</v>
      </c>
      <c r="B158" s="1">
        <v>46149</v>
      </c>
      <c r="C158" t="s">
        <v>46</v>
      </c>
      <c r="D158" t="s">
        <v>68</v>
      </c>
      <c r="E158" t="s">
        <v>402</v>
      </c>
      <c r="F158" t="s">
        <v>13</v>
      </c>
      <c r="G158" t="s">
        <v>32</v>
      </c>
      <c r="H158">
        <v>48</v>
      </c>
      <c r="I158">
        <v>2</v>
      </c>
      <c r="J158">
        <v>2</v>
      </c>
      <c r="K158" t="s">
        <v>111</v>
      </c>
    </row>
    <row r="159">
      <c r="A159" t="s">
        <v>403</v>
      </c>
      <c r="B159" s="1">
        <v>46150</v>
      </c>
      <c r="C159" t="s">
        <v>46</v>
      </c>
      <c r="D159" t="s">
        <v>72</v>
      </c>
      <c r="E159" t="s">
        <v>219</v>
      </c>
      <c r="F159" t="s">
        <v>7</v>
      </c>
      <c r="G159" t="s">
        <v>32</v>
      </c>
      <c r="H159">
        <v>19</v>
      </c>
      <c r="I159">
        <v>1</v>
      </c>
      <c r="J159">
        <v>1</v>
      </c>
      <c r="K159" t="s">
        <v>147</v>
      </c>
    </row>
    <row r="160">
      <c r="A160" t="s">
        <v>404</v>
      </c>
      <c r="B160" s="1">
        <v>46151</v>
      </c>
      <c r="C160" t="s">
        <v>46</v>
      </c>
      <c r="D160" t="s">
        <v>83</v>
      </c>
      <c r="E160" t="s">
        <v>405</v>
      </c>
      <c r="F160" t="s">
        <v>7</v>
      </c>
      <c r="G160" t="s">
        <v>31</v>
      </c>
      <c r="H160">
        <v>74</v>
      </c>
      <c r="I160">
        <v>8</v>
      </c>
      <c r="J160">
        <v>2</v>
      </c>
      <c r="K160" t="s">
        <v>66</v>
      </c>
    </row>
    <row r="161">
      <c r="A161" t="s">
        <v>406</v>
      </c>
      <c r="B161" s="1">
        <v>46152</v>
      </c>
      <c r="C161" t="s">
        <v>46</v>
      </c>
      <c r="D161" t="s">
        <v>72</v>
      </c>
      <c r="E161" t="s">
        <v>407</v>
      </c>
      <c r="F161" t="s">
        <v>4</v>
      </c>
      <c r="G161" t="s">
        <v>30</v>
      </c>
      <c r="H161">
        <v>108</v>
      </c>
      <c r="I161">
        <v>10</v>
      </c>
      <c r="J161">
        <v>6</v>
      </c>
      <c r="K161" t="s">
        <v>171</v>
      </c>
    </row>
    <row r="162">
      <c r="A162" t="s">
        <v>408</v>
      </c>
      <c r="B162" s="1">
        <v>46152</v>
      </c>
      <c r="C162" t="s">
        <v>46</v>
      </c>
      <c r="D162" t="s">
        <v>104</v>
      </c>
      <c r="E162" t="s">
        <v>409</v>
      </c>
      <c r="F162" t="s">
        <v>12</v>
      </c>
      <c r="G162" t="s">
        <v>31</v>
      </c>
      <c r="H162">
        <v>21</v>
      </c>
      <c r="I162">
        <v>3</v>
      </c>
      <c r="J162">
        <v>2</v>
      </c>
      <c r="K162" t="s">
        <v>220</v>
      </c>
    </row>
    <row r="163">
      <c r="A163" t="s">
        <v>410</v>
      </c>
      <c r="B163" s="1">
        <v>46154</v>
      </c>
      <c r="C163" t="s">
        <v>46</v>
      </c>
      <c r="D163" t="s">
        <v>64</v>
      </c>
      <c r="E163" t="s">
        <v>411</v>
      </c>
      <c r="F163" t="s">
        <v>9</v>
      </c>
      <c r="G163" t="s">
        <v>30</v>
      </c>
      <c r="H163">
        <v>32</v>
      </c>
      <c r="I163">
        <v>3</v>
      </c>
      <c r="J163">
        <v>1</v>
      </c>
      <c r="K163" t="s">
        <v>227</v>
      </c>
    </row>
    <row r="164">
      <c r="A164" t="s">
        <v>412</v>
      </c>
      <c r="B164" s="1">
        <v>46156</v>
      </c>
      <c r="C164" t="s">
        <v>46</v>
      </c>
      <c r="D164" t="s">
        <v>83</v>
      </c>
      <c r="E164" t="s">
        <v>384</v>
      </c>
      <c r="F164" t="s">
        <v>5</v>
      </c>
      <c r="G164" t="s">
        <v>32</v>
      </c>
      <c r="H164">
        <v>46</v>
      </c>
      <c r="I164">
        <v>7</v>
      </c>
      <c r="J164">
        <v>2</v>
      </c>
      <c r="K164" t="s">
        <v>130</v>
      </c>
    </row>
    <row r="165">
      <c r="A165" t="s">
        <v>413</v>
      </c>
      <c r="B165" s="1">
        <v>46156</v>
      </c>
      <c r="C165" t="s">
        <v>46</v>
      </c>
      <c r="D165" t="s">
        <v>104</v>
      </c>
      <c r="E165" t="s">
        <v>414</v>
      </c>
      <c r="F165" t="s">
        <v>5</v>
      </c>
      <c r="G165" t="s">
        <v>30</v>
      </c>
      <c r="H165">
        <v>47</v>
      </c>
      <c r="I165">
        <v>4</v>
      </c>
      <c r="J165">
        <v>5</v>
      </c>
      <c r="K165" t="s">
        <v>180</v>
      </c>
    </row>
    <row r="166">
      <c r="A166" t="s">
        <v>415</v>
      </c>
      <c r="B166" s="1">
        <v>46156</v>
      </c>
      <c r="C166" t="s">
        <v>46</v>
      </c>
      <c r="D166" t="s">
        <v>83</v>
      </c>
      <c r="E166" t="s">
        <v>416</v>
      </c>
      <c r="F166" t="s">
        <v>6</v>
      </c>
      <c r="G166" t="s">
        <v>32</v>
      </c>
      <c r="H166">
        <v>22</v>
      </c>
      <c r="I166">
        <v>6</v>
      </c>
      <c r="J166">
        <v>3</v>
      </c>
      <c r="K166" t="s">
        <v>114</v>
      </c>
    </row>
    <row r="167">
      <c r="A167" t="s">
        <v>417</v>
      </c>
      <c r="B167" s="1">
        <v>46156</v>
      </c>
      <c r="C167" t="s">
        <v>46</v>
      </c>
      <c r="D167" t="s">
        <v>79</v>
      </c>
      <c r="E167" t="s">
        <v>267</v>
      </c>
      <c r="F167" t="s">
        <v>12</v>
      </c>
      <c r="G167" t="s">
        <v>32</v>
      </c>
      <c r="H167">
        <v>323</v>
      </c>
      <c r="I167">
        <v>92</v>
      </c>
      <c r="J167">
        <v>53</v>
      </c>
      <c r="K167" t="s">
        <v>81</v>
      </c>
    </row>
    <row r="168">
      <c r="A168" t="s">
        <v>418</v>
      </c>
      <c r="B168" s="1">
        <v>46157</v>
      </c>
      <c r="C168" t="s">
        <v>46</v>
      </c>
      <c r="D168" t="s">
        <v>79</v>
      </c>
      <c r="E168" t="s">
        <v>419</v>
      </c>
      <c r="F168" t="s">
        <v>8</v>
      </c>
      <c r="G168" t="s">
        <v>31</v>
      </c>
      <c r="H168">
        <v>252</v>
      </c>
      <c r="I168">
        <v>17</v>
      </c>
      <c r="J168">
        <v>12</v>
      </c>
      <c r="K168" t="s">
        <v>106</v>
      </c>
    </row>
    <row r="169">
      <c r="A169" t="s">
        <v>420</v>
      </c>
      <c r="B169" s="1">
        <v>46157</v>
      </c>
      <c r="C169" t="s">
        <v>46</v>
      </c>
      <c r="D169" t="s">
        <v>64</v>
      </c>
      <c r="E169" t="s">
        <v>173</v>
      </c>
      <c r="F169" t="s">
        <v>9</v>
      </c>
      <c r="G169" t="s">
        <v>31</v>
      </c>
      <c r="H169">
        <v>169</v>
      </c>
      <c r="I169">
        <v>28</v>
      </c>
      <c r="J169">
        <v>29</v>
      </c>
      <c r="K169" t="s">
        <v>227</v>
      </c>
    </row>
    <row r="170">
      <c r="A170" t="s">
        <v>421</v>
      </c>
      <c r="B170" s="1">
        <v>46158</v>
      </c>
      <c r="C170" t="s">
        <v>46</v>
      </c>
      <c r="D170" t="s">
        <v>79</v>
      </c>
      <c r="E170" t="s">
        <v>422</v>
      </c>
      <c r="F170" t="s">
        <v>4</v>
      </c>
      <c r="G170" t="s">
        <v>31</v>
      </c>
      <c r="H170">
        <v>92</v>
      </c>
      <c r="I170">
        <v>12</v>
      </c>
      <c r="J170">
        <v>11</v>
      </c>
      <c r="K170" t="s">
        <v>74</v>
      </c>
    </row>
    <row r="171">
      <c r="A171" t="s">
        <v>423</v>
      </c>
      <c r="B171" s="1">
        <v>46158</v>
      </c>
      <c r="C171" t="s">
        <v>46</v>
      </c>
      <c r="D171" t="s">
        <v>104</v>
      </c>
      <c r="E171" t="s">
        <v>424</v>
      </c>
      <c r="F171" t="s">
        <v>8</v>
      </c>
      <c r="G171" t="s">
        <v>32</v>
      </c>
      <c r="H171">
        <v>15</v>
      </c>
      <c r="I171">
        <v>1</v>
      </c>
      <c r="J171">
        <v>1</v>
      </c>
      <c r="K171" t="s">
        <v>99</v>
      </c>
    </row>
    <row r="172">
      <c r="A172" t="s">
        <v>425</v>
      </c>
      <c r="B172" s="1">
        <v>46158</v>
      </c>
      <c r="C172" t="s">
        <v>46</v>
      </c>
      <c r="D172" t="s">
        <v>64</v>
      </c>
      <c r="E172" t="s">
        <v>426</v>
      </c>
      <c r="F172" t="s">
        <v>9</v>
      </c>
      <c r="G172" t="s">
        <v>30</v>
      </c>
      <c r="H172">
        <v>16</v>
      </c>
      <c r="I172">
        <v>1</v>
      </c>
      <c r="J172">
        <v>0</v>
      </c>
      <c r="K172" t="s">
        <v>227</v>
      </c>
    </row>
    <row r="173">
      <c r="A173" t="s">
        <v>427</v>
      </c>
      <c r="B173" s="1">
        <v>46160</v>
      </c>
      <c r="C173" t="s">
        <v>46</v>
      </c>
      <c r="D173" t="s">
        <v>64</v>
      </c>
      <c r="E173" t="s">
        <v>428</v>
      </c>
      <c r="F173" t="s">
        <v>10</v>
      </c>
      <c r="G173" t="s">
        <v>30</v>
      </c>
      <c r="H173">
        <v>214</v>
      </c>
      <c r="I173">
        <v>42</v>
      </c>
      <c r="J173">
        <v>39</v>
      </c>
      <c r="K173" t="s">
        <v>156</v>
      </c>
    </row>
    <row r="174">
      <c r="A174" t="s">
        <v>429</v>
      </c>
      <c r="B174" s="1">
        <v>46160</v>
      </c>
      <c r="C174" t="s">
        <v>46</v>
      </c>
      <c r="D174" t="s">
        <v>68</v>
      </c>
      <c r="E174" t="s">
        <v>430</v>
      </c>
      <c r="F174" t="s">
        <v>12</v>
      </c>
      <c r="G174" t="s">
        <v>31</v>
      </c>
      <c r="H174">
        <v>73</v>
      </c>
      <c r="I174">
        <v>5</v>
      </c>
      <c r="J174">
        <v>3</v>
      </c>
      <c r="K174" t="s">
        <v>87</v>
      </c>
    </row>
    <row r="175">
      <c r="A175" t="s">
        <v>431</v>
      </c>
      <c r="B175" s="1">
        <v>46161</v>
      </c>
      <c r="C175" t="s">
        <v>46</v>
      </c>
      <c r="D175" t="s">
        <v>83</v>
      </c>
      <c r="E175" t="s">
        <v>432</v>
      </c>
      <c r="F175" t="s">
        <v>11</v>
      </c>
      <c r="G175" t="s">
        <v>30</v>
      </c>
      <c r="H175">
        <v>73</v>
      </c>
      <c r="I175">
        <v>8</v>
      </c>
      <c r="J175">
        <v>7</v>
      </c>
      <c r="K175" t="s">
        <v>127</v>
      </c>
    </row>
    <row r="176">
      <c r="A176" t="s">
        <v>433</v>
      </c>
      <c r="B176" s="1">
        <v>46162</v>
      </c>
      <c r="C176" t="s">
        <v>46</v>
      </c>
      <c r="D176" t="s">
        <v>72</v>
      </c>
      <c r="E176" t="s">
        <v>434</v>
      </c>
      <c r="F176" t="s">
        <v>7</v>
      </c>
      <c r="G176" t="s">
        <v>31</v>
      </c>
      <c r="H176">
        <v>73</v>
      </c>
      <c r="I176">
        <v>13</v>
      </c>
      <c r="J176">
        <v>3</v>
      </c>
      <c r="K176" t="s">
        <v>147</v>
      </c>
    </row>
    <row r="177">
      <c r="A177" t="s">
        <v>435</v>
      </c>
      <c r="B177" s="1">
        <v>46162</v>
      </c>
      <c r="C177" t="s">
        <v>46</v>
      </c>
      <c r="D177" t="s">
        <v>79</v>
      </c>
      <c r="E177" t="s">
        <v>436</v>
      </c>
      <c r="F177" t="s">
        <v>10</v>
      </c>
      <c r="G177" t="s">
        <v>30</v>
      </c>
      <c r="H177">
        <v>103</v>
      </c>
      <c r="I177">
        <v>20</v>
      </c>
      <c r="J177">
        <v>11</v>
      </c>
      <c r="K177" t="s">
        <v>156</v>
      </c>
    </row>
    <row r="178">
      <c r="A178" t="s">
        <v>437</v>
      </c>
      <c r="B178" s="1">
        <v>46163</v>
      </c>
      <c r="C178" t="s">
        <v>46</v>
      </c>
      <c r="D178" t="s">
        <v>68</v>
      </c>
      <c r="E178" t="s">
        <v>438</v>
      </c>
      <c r="F178" t="s">
        <v>5</v>
      </c>
      <c r="G178" t="s">
        <v>30</v>
      </c>
      <c r="H178">
        <v>20</v>
      </c>
      <c r="I178">
        <v>1</v>
      </c>
      <c r="J178">
        <v>2</v>
      </c>
      <c r="K178" t="s">
        <v>93</v>
      </c>
    </row>
    <row r="179">
      <c r="A179" t="s">
        <v>439</v>
      </c>
      <c r="B179" s="1">
        <v>46164</v>
      </c>
      <c r="C179" t="s">
        <v>46</v>
      </c>
      <c r="D179" t="s">
        <v>72</v>
      </c>
      <c r="E179" t="s">
        <v>440</v>
      </c>
      <c r="F179" t="s">
        <v>4</v>
      </c>
      <c r="G179" t="s">
        <v>31</v>
      </c>
      <c r="H179">
        <v>82</v>
      </c>
      <c r="I179">
        <v>21</v>
      </c>
      <c r="J179">
        <v>10</v>
      </c>
      <c r="K179" t="s">
        <v>74</v>
      </c>
    </row>
    <row r="180">
      <c r="A180" t="s">
        <v>441</v>
      </c>
      <c r="B180" s="1">
        <v>46164</v>
      </c>
      <c r="C180" t="s">
        <v>46</v>
      </c>
      <c r="D180" t="s">
        <v>83</v>
      </c>
      <c r="E180" t="s">
        <v>442</v>
      </c>
      <c r="F180" t="s">
        <v>10</v>
      </c>
      <c r="G180" t="s">
        <v>31</v>
      </c>
      <c r="H180">
        <v>46</v>
      </c>
      <c r="I180">
        <v>12</v>
      </c>
      <c r="J180">
        <v>1</v>
      </c>
      <c r="K180" t="s">
        <v>156</v>
      </c>
    </row>
    <row r="181">
      <c r="A181" t="s">
        <v>443</v>
      </c>
      <c r="B181" s="1">
        <v>46164</v>
      </c>
      <c r="C181" t="s">
        <v>46</v>
      </c>
      <c r="D181" t="s">
        <v>68</v>
      </c>
      <c r="E181" t="s">
        <v>444</v>
      </c>
      <c r="F181" t="s">
        <v>11</v>
      </c>
      <c r="G181" t="s">
        <v>32</v>
      </c>
      <c r="H181">
        <v>20</v>
      </c>
      <c r="I181">
        <v>5</v>
      </c>
      <c r="J181">
        <v>3</v>
      </c>
      <c r="K181" t="s">
        <v>127</v>
      </c>
    </row>
    <row r="182">
      <c r="A182" t="s">
        <v>445</v>
      </c>
      <c r="B182" s="1">
        <v>46165</v>
      </c>
      <c r="C182" t="s">
        <v>46</v>
      </c>
      <c r="D182" t="s">
        <v>104</v>
      </c>
      <c r="E182" t="s">
        <v>446</v>
      </c>
      <c r="F182" t="s">
        <v>11</v>
      </c>
      <c r="G182" t="s">
        <v>31</v>
      </c>
      <c r="H182">
        <v>273</v>
      </c>
      <c r="I182">
        <v>23</v>
      </c>
      <c r="J182">
        <v>45</v>
      </c>
      <c r="K182" t="s">
        <v>248</v>
      </c>
    </row>
    <row r="183">
      <c r="A183" t="s">
        <v>447</v>
      </c>
      <c r="B183" s="1">
        <v>46165</v>
      </c>
      <c r="C183" t="s">
        <v>46</v>
      </c>
      <c r="D183" t="s">
        <v>64</v>
      </c>
      <c r="E183" t="s">
        <v>448</v>
      </c>
      <c r="F183" t="s">
        <v>13</v>
      </c>
      <c r="G183" t="s">
        <v>32</v>
      </c>
      <c r="H183">
        <v>8</v>
      </c>
      <c r="I183">
        <v>1</v>
      </c>
      <c r="J183">
        <v>1</v>
      </c>
      <c r="K183" t="s">
        <v>328</v>
      </c>
    </row>
    <row r="184">
      <c r="A184" t="s">
        <v>449</v>
      </c>
      <c r="B184" s="1">
        <v>46166</v>
      </c>
      <c r="C184" t="s">
        <v>46</v>
      </c>
      <c r="D184" t="s">
        <v>72</v>
      </c>
      <c r="E184" t="s">
        <v>186</v>
      </c>
      <c r="F184" t="s">
        <v>7</v>
      </c>
      <c r="G184" t="s">
        <v>31</v>
      </c>
      <c r="H184">
        <v>8</v>
      </c>
      <c r="I184">
        <v>0</v>
      </c>
      <c r="J184">
        <v>0</v>
      </c>
      <c r="K184" t="s">
        <v>66</v>
      </c>
    </row>
    <row r="185">
      <c r="A185" t="s">
        <v>450</v>
      </c>
      <c r="B185" s="1">
        <v>46167</v>
      </c>
      <c r="C185" t="s">
        <v>46</v>
      </c>
      <c r="D185" t="s">
        <v>79</v>
      </c>
      <c r="E185" t="s">
        <v>451</v>
      </c>
      <c r="F185" t="s">
        <v>6</v>
      </c>
      <c r="G185" t="s">
        <v>32</v>
      </c>
      <c r="H185">
        <v>36</v>
      </c>
      <c r="I185">
        <v>8</v>
      </c>
      <c r="J185">
        <v>5</v>
      </c>
      <c r="K185" t="s">
        <v>114</v>
      </c>
    </row>
    <row r="186">
      <c r="A186" t="s">
        <v>452</v>
      </c>
      <c r="B186" s="1">
        <v>46167</v>
      </c>
      <c r="C186" t="s">
        <v>46</v>
      </c>
      <c r="D186" t="s">
        <v>79</v>
      </c>
      <c r="E186" t="s">
        <v>453</v>
      </c>
      <c r="F186" t="s">
        <v>13</v>
      </c>
      <c r="G186" t="s">
        <v>31</v>
      </c>
      <c r="H186">
        <v>86</v>
      </c>
      <c r="I186">
        <v>9</v>
      </c>
      <c r="J186">
        <v>4</v>
      </c>
      <c r="K186" t="s">
        <v>111</v>
      </c>
    </row>
    <row r="187">
      <c r="A187" t="s">
        <v>454</v>
      </c>
      <c r="B187" s="1">
        <v>46168</v>
      </c>
      <c r="C187" t="s">
        <v>46</v>
      </c>
      <c r="D187" t="s">
        <v>79</v>
      </c>
      <c r="E187" t="s">
        <v>455</v>
      </c>
      <c r="F187" t="s">
        <v>4</v>
      </c>
      <c r="G187" t="s">
        <v>30</v>
      </c>
      <c r="H187">
        <v>42</v>
      </c>
      <c r="I187">
        <v>9</v>
      </c>
      <c r="J187">
        <v>4</v>
      </c>
      <c r="K187" t="s">
        <v>90</v>
      </c>
    </row>
    <row r="188">
      <c r="A188" t="s">
        <v>456</v>
      </c>
      <c r="B188" s="1">
        <v>46169</v>
      </c>
      <c r="C188" t="s">
        <v>46</v>
      </c>
      <c r="D188" t="s">
        <v>104</v>
      </c>
      <c r="E188" t="s">
        <v>86</v>
      </c>
      <c r="F188" t="s">
        <v>5</v>
      </c>
      <c r="G188" t="s">
        <v>31</v>
      </c>
      <c r="H188">
        <v>40</v>
      </c>
      <c r="I188">
        <v>6</v>
      </c>
      <c r="J188">
        <v>4</v>
      </c>
      <c r="K188" t="s">
        <v>180</v>
      </c>
    </row>
    <row r="189">
      <c r="A189" t="s">
        <v>457</v>
      </c>
      <c r="B189" s="1">
        <v>46169</v>
      </c>
      <c r="C189" t="s">
        <v>46</v>
      </c>
      <c r="D189" t="s">
        <v>72</v>
      </c>
      <c r="E189" t="s">
        <v>357</v>
      </c>
      <c r="F189" t="s">
        <v>11</v>
      </c>
      <c r="G189" t="s">
        <v>30</v>
      </c>
      <c r="H189">
        <v>65</v>
      </c>
      <c r="I189">
        <v>11</v>
      </c>
      <c r="J189">
        <v>12</v>
      </c>
      <c r="K189" t="s">
        <v>77</v>
      </c>
    </row>
    <row r="190">
      <c r="A190" t="s">
        <v>458</v>
      </c>
      <c r="B190" s="1">
        <v>46169</v>
      </c>
      <c r="C190" t="s">
        <v>46</v>
      </c>
      <c r="D190" t="s">
        <v>64</v>
      </c>
      <c r="E190" t="s">
        <v>363</v>
      </c>
      <c r="F190" t="s">
        <v>12</v>
      </c>
      <c r="G190" t="s">
        <v>30</v>
      </c>
      <c r="H190">
        <v>109</v>
      </c>
      <c r="I190">
        <v>29</v>
      </c>
      <c r="J190">
        <v>10</v>
      </c>
      <c r="K190" t="s">
        <v>220</v>
      </c>
    </row>
    <row r="191">
      <c r="A191" t="s">
        <v>459</v>
      </c>
      <c r="B191" s="1">
        <v>46170</v>
      </c>
      <c r="C191" t="s">
        <v>46</v>
      </c>
      <c r="D191" t="s">
        <v>72</v>
      </c>
      <c r="E191" t="s">
        <v>460</v>
      </c>
      <c r="F191" t="s">
        <v>6</v>
      </c>
      <c r="G191" t="s">
        <v>31</v>
      </c>
      <c r="H191">
        <v>24</v>
      </c>
      <c r="I191">
        <v>2</v>
      </c>
      <c r="J191">
        <v>3</v>
      </c>
      <c r="K191" t="s">
        <v>114</v>
      </c>
    </row>
    <row r="192">
      <c r="A192" t="s">
        <v>461</v>
      </c>
      <c r="B192" s="1">
        <v>46170</v>
      </c>
      <c r="C192" t="s">
        <v>46</v>
      </c>
      <c r="D192" t="s">
        <v>72</v>
      </c>
      <c r="E192" t="s">
        <v>462</v>
      </c>
      <c r="F192" t="s">
        <v>13</v>
      </c>
      <c r="G192" t="s">
        <v>32</v>
      </c>
      <c r="H192">
        <v>219</v>
      </c>
      <c r="I192">
        <v>13</v>
      </c>
      <c r="J192">
        <v>32</v>
      </c>
      <c r="K192" t="s">
        <v>328</v>
      </c>
    </row>
    <row r="193">
      <c r="A193" t="s">
        <v>463</v>
      </c>
      <c r="B193" s="1">
        <v>46174</v>
      </c>
      <c r="C193" t="s">
        <v>47</v>
      </c>
      <c r="D193" t="s">
        <v>104</v>
      </c>
      <c r="E193" t="s">
        <v>254</v>
      </c>
      <c r="F193" t="s">
        <v>4</v>
      </c>
      <c r="G193" t="s">
        <v>30</v>
      </c>
      <c r="H193">
        <v>84</v>
      </c>
      <c r="I193">
        <v>6</v>
      </c>
      <c r="J193">
        <v>9</v>
      </c>
      <c r="K193" t="s">
        <v>90</v>
      </c>
    </row>
    <row r="194">
      <c r="A194" t="s">
        <v>464</v>
      </c>
      <c r="B194" s="1">
        <v>46174</v>
      </c>
      <c r="C194" t="s">
        <v>47</v>
      </c>
      <c r="D194" t="s">
        <v>64</v>
      </c>
      <c r="E194" t="s">
        <v>465</v>
      </c>
      <c r="F194" t="s">
        <v>10</v>
      </c>
      <c r="G194" t="s">
        <v>30</v>
      </c>
      <c r="H194">
        <v>225</v>
      </c>
      <c r="I194">
        <v>31</v>
      </c>
      <c r="J194">
        <v>30</v>
      </c>
      <c r="K194" t="s">
        <v>96</v>
      </c>
    </row>
    <row r="195">
      <c r="A195" t="s">
        <v>466</v>
      </c>
      <c r="B195" s="1">
        <v>46174</v>
      </c>
      <c r="C195" t="s">
        <v>47</v>
      </c>
      <c r="D195" t="s">
        <v>64</v>
      </c>
      <c r="E195" t="s">
        <v>467</v>
      </c>
      <c r="F195" t="s">
        <v>11</v>
      </c>
      <c r="G195" t="s">
        <v>31</v>
      </c>
      <c r="H195">
        <v>7</v>
      </c>
      <c r="I195">
        <v>1</v>
      </c>
      <c r="J195">
        <v>0</v>
      </c>
      <c r="K195" t="s">
        <v>127</v>
      </c>
    </row>
    <row r="196">
      <c r="A196" t="s">
        <v>468</v>
      </c>
      <c r="B196" s="1">
        <v>46174</v>
      </c>
      <c r="C196" t="s">
        <v>47</v>
      </c>
      <c r="D196" t="s">
        <v>68</v>
      </c>
      <c r="E196" t="s">
        <v>469</v>
      </c>
      <c r="F196" t="s">
        <v>11</v>
      </c>
      <c r="G196" t="s">
        <v>32</v>
      </c>
      <c r="H196">
        <v>25</v>
      </c>
      <c r="I196">
        <v>5</v>
      </c>
      <c r="J196">
        <v>1</v>
      </c>
      <c r="K196" t="s">
        <v>127</v>
      </c>
    </row>
    <row r="197">
      <c r="A197" t="s">
        <v>470</v>
      </c>
      <c r="B197" s="1">
        <v>46176</v>
      </c>
      <c r="C197" t="s">
        <v>47</v>
      </c>
      <c r="D197" t="s">
        <v>104</v>
      </c>
      <c r="E197" t="s">
        <v>471</v>
      </c>
      <c r="F197" t="s">
        <v>13</v>
      </c>
      <c r="G197" t="s">
        <v>31</v>
      </c>
      <c r="H197">
        <v>81</v>
      </c>
      <c r="I197">
        <v>12</v>
      </c>
      <c r="J197">
        <v>7</v>
      </c>
      <c r="K197" t="s">
        <v>102</v>
      </c>
    </row>
    <row r="198">
      <c r="A198" t="s">
        <v>472</v>
      </c>
      <c r="B198" s="1">
        <v>46177</v>
      </c>
      <c r="C198" t="s">
        <v>47</v>
      </c>
      <c r="D198" t="s">
        <v>68</v>
      </c>
      <c r="E198" t="s">
        <v>347</v>
      </c>
      <c r="F198" t="s">
        <v>4</v>
      </c>
      <c r="G198" t="s">
        <v>30</v>
      </c>
      <c r="H198">
        <v>86</v>
      </c>
      <c r="I198">
        <v>25</v>
      </c>
      <c r="J198">
        <v>8</v>
      </c>
      <c r="K198" t="s">
        <v>171</v>
      </c>
    </row>
    <row r="199">
      <c r="A199" t="s">
        <v>473</v>
      </c>
      <c r="B199" s="1">
        <v>46177</v>
      </c>
      <c r="C199" t="s">
        <v>47</v>
      </c>
      <c r="D199" t="s">
        <v>64</v>
      </c>
      <c r="E199" t="s">
        <v>474</v>
      </c>
      <c r="F199" t="s">
        <v>6</v>
      </c>
      <c r="G199" t="s">
        <v>31</v>
      </c>
      <c r="H199">
        <v>223</v>
      </c>
      <c r="I199">
        <v>25</v>
      </c>
      <c r="J199">
        <v>21</v>
      </c>
      <c r="K199" t="s">
        <v>139</v>
      </c>
    </row>
    <row r="200">
      <c r="A200" t="s">
        <v>475</v>
      </c>
      <c r="B200" s="1">
        <v>46178</v>
      </c>
      <c r="C200" t="s">
        <v>47</v>
      </c>
      <c r="D200" t="s">
        <v>64</v>
      </c>
      <c r="E200" t="s">
        <v>476</v>
      </c>
      <c r="F200" t="s">
        <v>7</v>
      </c>
      <c r="G200" t="s">
        <v>32</v>
      </c>
      <c r="H200">
        <v>559</v>
      </c>
      <c r="I200">
        <v>66</v>
      </c>
      <c r="J200">
        <v>42</v>
      </c>
      <c r="K200" t="s">
        <v>117</v>
      </c>
    </row>
    <row r="201">
      <c r="A201" t="s">
        <v>477</v>
      </c>
      <c r="B201" s="1">
        <v>46179</v>
      </c>
      <c r="C201" t="s">
        <v>47</v>
      </c>
      <c r="D201" t="s">
        <v>104</v>
      </c>
      <c r="E201" t="s">
        <v>478</v>
      </c>
      <c r="F201" t="s">
        <v>7</v>
      </c>
      <c r="G201" t="s">
        <v>30</v>
      </c>
      <c r="H201">
        <v>442</v>
      </c>
      <c r="I201">
        <v>67</v>
      </c>
      <c r="J201">
        <v>38</v>
      </c>
      <c r="K201" t="s">
        <v>147</v>
      </c>
    </row>
    <row r="202">
      <c r="A202" t="s">
        <v>479</v>
      </c>
      <c r="B202" s="1">
        <v>46179</v>
      </c>
      <c r="C202" t="s">
        <v>47</v>
      </c>
      <c r="D202" t="s">
        <v>72</v>
      </c>
      <c r="E202" t="s">
        <v>480</v>
      </c>
      <c r="F202" t="s">
        <v>9</v>
      </c>
      <c r="G202" t="s">
        <v>30</v>
      </c>
      <c r="H202">
        <v>32</v>
      </c>
      <c r="I202">
        <v>3</v>
      </c>
      <c r="J202">
        <v>1</v>
      </c>
      <c r="K202" t="s">
        <v>227</v>
      </c>
    </row>
    <row r="203">
      <c r="A203" t="s">
        <v>481</v>
      </c>
      <c r="B203" s="1">
        <v>46180</v>
      </c>
      <c r="C203" t="s">
        <v>47</v>
      </c>
      <c r="D203" t="s">
        <v>68</v>
      </c>
      <c r="E203" t="s">
        <v>482</v>
      </c>
      <c r="F203" t="s">
        <v>5</v>
      </c>
      <c r="G203" t="s">
        <v>31</v>
      </c>
      <c r="H203">
        <v>301</v>
      </c>
      <c r="I203">
        <v>27</v>
      </c>
      <c r="J203">
        <v>36</v>
      </c>
      <c r="K203" t="s">
        <v>130</v>
      </c>
    </row>
    <row r="204">
      <c r="A204" t="s">
        <v>483</v>
      </c>
      <c r="B204" s="1">
        <v>46180</v>
      </c>
      <c r="C204" t="s">
        <v>47</v>
      </c>
      <c r="D204" t="s">
        <v>72</v>
      </c>
      <c r="E204" t="s">
        <v>484</v>
      </c>
      <c r="F204" t="s">
        <v>10</v>
      </c>
      <c r="G204" t="s">
        <v>30</v>
      </c>
      <c r="H204">
        <v>36</v>
      </c>
      <c r="I204">
        <v>8</v>
      </c>
      <c r="J204">
        <v>6</v>
      </c>
      <c r="K204" t="s">
        <v>96</v>
      </c>
    </row>
    <row r="205">
      <c r="A205" t="s">
        <v>485</v>
      </c>
      <c r="B205" s="1">
        <v>46181</v>
      </c>
      <c r="C205" t="s">
        <v>47</v>
      </c>
      <c r="D205" t="s">
        <v>104</v>
      </c>
      <c r="E205" t="s">
        <v>486</v>
      </c>
      <c r="F205" t="s">
        <v>4</v>
      </c>
      <c r="G205" t="s">
        <v>31</v>
      </c>
      <c r="H205">
        <v>22</v>
      </c>
      <c r="I205">
        <v>3</v>
      </c>
      <c r="J205">
        <v>2</v>
      </c>
      <c r="K205" t="s">
        <v>74</v>
      </c>
    </row>
    <row r="206">
      <c r="A206" t="s">
        <v>487</v>
      </c>
      <c r="B206" s="1">
        <v>46181</v>
      </c>
      <c r="C206" t="s">
        <v>47</v>
      </c>
      <c r="D206" t="s">
        <v>68</v>
      </c>
      <c r="E206" t="s">
        <v>428</v>
      </c>
      <c r="F206" t="s">
        <v>9</v>
      </c>
      <c r="G206" t="s">
        <v>30</v>
      </c>
      <c r="H206">
        <v>116</v>
      </c>
      <c r="I206">
        <v>22</v>
      </c>
      <c r="J206">
        <v>18</v>
      </c>
      <c r="K206" t="s">
        <v>205</v>
      </c>
    </row>
    <row r="207">
      <c r="A207" t="s">
        <v>488</v>
      </c>
      <c r="B207" s="1">
        <v>46181</v>
      </c>
      <c r="C207" t="s">
        <v>47</v>
      </c>
      <c r="D207" t="s">
        <v>79</v>
      </c>
      <c r="E207" t="s">
        <v>489</v>
      </c>
      <c r="F207" t="s">
        <v>13</v>
      </c>
      <c r="G207" t="s">
        <v>30</v>
      </c>
      <c r="H207">
        <v>32</v>
      </c>
      <c r="I207">
        <v>4</v>
      </c>
      <c r="J207">
        <v>4</v>
      </c>
      <c r="K207" t="s">
        <v>102</v>
      </c>
    </row>
    <row r="208">
      <c r="A208" t="s">
        <v>490</v>
      </c>
      <c r="B208" s="1">
        <v>46183</v>
      </c>
      <c r="C208" t="s">
        <v>47</v>
      </c>
      <c r="D208" t="s">
        <v>79</v>
      </c>
      <c r="E208" t="s">
        <v>491</v>
      </c>
      <c r="F208" t="s">
        <v>4</v>
      </c>
      <c r="G208" t="s">
        <v>30</v>
      </c>
      <c r="H208">
        <v>44</v>
      </c>
      <c r="I208">
        <v>11</v>
      </c>
      <c r="J208">
        <v>5</v>
      </c>
      <c r="K208" t="s">
        <v>90</v>
      </c>
    </row>
    <row r="209">
      <c r="A209" t="s">
        <v>492</v>
      </c>
      <c r="B209" s="1">
        <v>46183</v>
      </c>
      <c r="C209" t="s">
        <v>47</v>
      </c>
      <c r="D209" t="s">
        <v>68</v>
      </c>
      <c r="E209" t="s">
        <v>446</v>
      </c>
      <c r="F209" t="s">
        <v>6</v>
      </c>
      <c r="G209" t="s">
        <v>30</v>
      </c>
      <c r="H209">
        <v>75</v>
      </c>
      <c r="I209">
        <v>16</v>
      </c>
      <c r="J209">
        <v>13</v>
      </c>
      <c r="K209" t="s">
        <v>139</v>
      </c>
    </row>
    <row r="210">
      <c r="A210" t="s">
        <v>493</v>
      </c>
      <c r="B210" s="1">
        <v>46185</v>
      </c>
      <c r="C210" t="s">
        <v>47</v>
      </c>
      <c r="D210" t="s">
        <v>79</v>
      </c>
      <c r="E210" t="s">
        <v>129</v>
      </c>
      <c r="F210" t="s">
        <v>9</v>
      </c>
      <c r="G210" t="s">
        <v>30</v>
      </c>
      <c r="H210">
        <v>205</v>
      </c>
      <c r="I210">
        <v>17</v>
      </c>
      <c r="J210">
        <v>12</v>
      </c>
      <c r="K210" t="s">
        <v>227</v>
      </c>
    </row>
    <row r="211">
      <c r="A211" t="s">
        <v>494</v>
      </c>
      <c r="B211" s="1">
        <v>46186</v>
      </c>
      <c r="C211" t="s">
        <v>47</v>
      </c>
      <c r="D211" t="s">
        <v>72</v>
      </c>
      <c r="E211" t="s">
        <v>495</v>
      </c>
      <c r="F211" t="s">
        <v>5</v>
      </c>
      <c r="G211" t="s">
        <v>32</v>
      </c>
      <c r="H211">
        <v>15</v>
      </c>
      <c r="I211">
        <v>2</v>
      </c>
      <c r="J211">
        <v>1</v>
      </c>
      <c r="K211" t="s">
        <v>93</v>
      </c>
    </row>
    <row r="212">
      <c r="A212" t="s">
        <v>496</v>
      </c>
      <c r="B212" s="1">
        <v>46187</v>
      </c>
      <c r="C212" t="s">
        <v>47</v>
      </c>
      <c r="D212" t="s">
        <v>104</v>
      </c>
      <c r="E212" t="s">
        <v>497</v>
      </c>
      <c r="F212" t="s">
        <v>4</v>
      </c>
      <c r="G212" t="s">
        <v>32</v>
      </c>
      <c r="H212">
        <v>108</v>
      </c>
      <c r="I212">
        <v>22</v>
      </c>
      <c r="J212">
        <v>6</v>
      </c>
      <c r="K212" t="s">
        <v>90</v>
      </c>
    </row>
    <row r="213">
      <c r="A213" t="s">
        <v>498</v>
      </c>
      <c r="B213" s="1">
        <v>46187</v>
      </c>
      <c r="C213" t="s">
        <v>47</v>
      </c>
      <c r="D213" t="s">
        <v>68</v>
      </c>
      <c r="E213" t="s">
        <v>499</v>
      </c>
      <c r="F213" t="s">
        <v>4</v>
      </c>
      <c r="G213" t="s">
        <v>30</v>
      </c>
      <c r="H213">
        <v>26</v>
      </c>
      <c r="I213">
        <v>2</v>
      </c>
      <c r="J213">
        <v>1</v>
      </c>
      <c r="K213" t="s">
        <v>74</v>
      </c>
    </row>
    <row r="214">
      <c r="A214" t="s">
        <v>500</v>
      </c>
      <c r="B214" s="1">
        <v>46187</v>
      </c>
      <c r="C214" t="s">
        <v>47</v>
      </c>
      <c r="D214" t="s">
        <v>68</v>
      </c>
      <c r="E214" t="s">
        <v>501</v>
      </c>
      <c r="F214" t="s">
        <v>12</v>
      </c>
      <c r="G214" t="s">
        <v>30</v>
      </c>
      <c r="H214">
        <v>60</v>
      </c>
      <c r="I214">
        <v>13</v>
      </c>
      <c r="J214">
        <v>1</v>
      </c>
      <c r="K214" t="s">
        <v>81</v>
      </c>
    </row>
    <row r="215">
      <c r="A215" t="s">
        <v>502</v>
      </c>
      <c r="B215" s="1">
        <v>46188</v>
      </c>
      <c r="C215" t="s">
        <v>47</v>
      </c>
      <c r="D215" t="s">
        <v>64</v>
      </c>
      <c r="E215" t="s">
        <v>465</v>
      </c>
      <c r="F215" t="s">
        <v>5</v>
      </c>
      <c r="G215" t="s">
        <v>30</v>
      </c>
      <c r="H215">
        <v>12</v>
      </c>
      <c r="I215">
        <v>2</v>
      </c>
      <c r="J215">
        <v>1</v>
      </c>
      <c r="K215" t="s">
        <v>180</v>
      </c>
    </row>
    <row r="216">
      <c r="A216" t="s">
        <v>503</v>
      </c>
      <c r="B216" s="1">
        <v>46189</v>
      </c>
      <c r="C216" t="s">
        <v>47</v>
      </c>
      <c r="D216" t="s">
        <v>79</v>
      </c>
      <c r="E216" t="s">
        <v>504</v>
      </c>
      <c r="F216" t="s">
        <v>12</v>
      </c>
      <c r="G216" t="s">
        <v>30</v>
      </c>
      <c r="H216">
        <v>133</v>
      </c>
      <c r="I216">
        <v>31</v>
      </c>
      <c r="J216">
        <v>16</v>
      </c>
      <c r="K216" t="s">
        <v>87</v>
      </c>
    </row>
    <row r="217">
      <c r="A217" t="s">
        <v>505</v>
      </c>
      <c r="B217" s="1">
        <v>46192</v>
      </c>
      <c r="C217" t="s">
        <v>47</v>
      </c>
      <c r="D217" t="s">
        <v>79</v>
      </c>
      <c r="E217" t="s">
        <v>506</v>
      </c>
      <c r="F217" t="s">
        <v>12</v>
      </c>
      <c r="G217" t="s">
        <v>30</v>
      </c>
      <c r="H217">
        <v>205</v>
      </c>
      <c r="I217">
        <v>18</v>
      </c>
      <c r="J217">
        <v>28</v>
      </c>
      <c r="K217" t="s">
        <v>220</v>
      </c>
    </row>
    <row r="218">
      <c r="A218" t="s">
        <v>507</v>
      </c>
      <c r="B218" s="1">
        <v>46193</v>
      </c>
      <c r="C218" t="s">
        <v>47</v>
      </c>
      <c r="D218" t="s">
        <v>79</v>
      </c>
      <c r="E218" t="s">
        <v>508</v>
      </c>
      <c r="F218" t="s">
        <v>5</v>
      </c>
      <c r="G218" t="s">
        <v>32</v>
      </c>
      <c r="H218">
        <v>19</v>
      </c>
      <c r="I218">
        <v>3</v>
      </c>
      <c r="J218">
        <v>1</v>
      </c>
      <c r="K218" t="s">
        <v>180</v>
      </c>
    </row>
    <row r="219">
      <c r="A219" t="s">
        <v>509</v>
      </c>
      <c r="B219" s="1">
        <v>46193</v>
      </c>
      <c r="C219" t="s">
        <v>47</v>
      </c>
      <c r="D219" t="s">
        <v>83</v>
      </c>
      <c r="E219" t="s">
        <v>510</v>
      </c>
      <c r="F219" t="s">
        <v>7</v>
      </c>
      <c r="G219" t="s">
        <v>30</v>
      </c>
      <c r="H219">
        <v>76</v>
      </c>
      <c r="I219">
        <v>11</v>
      </c>
      <c r="J219">
        <v>2</v>
      </c>
      <c r="K219" t="s">
        <v>147</v>
      </c>
    </row>
    <row r="220">
      <c r="A220" t="s">
        <v>511</v>
      </c>
      <c r="B220" s="1">
        <v>46193</v>
      </c>
      <c r="C220" t="s">
        <v>47</v>
      </c>
      <c r="D220" t="s">
        <v>68</v>
      </c>
      <c r="E220" t="s">
        <v>512</v>
      </c>
      <c r="F220" t="s">
        <v>12</v>
      </c>
      <c r="G220" t="s">
        <v>30</v>
      </c>
      <c r="H220">
        <v>48</v>
      </c>
      <c r="I220">
        <v>12</v>
      </c>
      <c r="J220">
        <v>8</v>
      </c>
      <c r="K220" t="s">
        <v>87</v>
      </c>
    </row>
    <row r="221">
      <c r="A221" t="s">
        <v>513</v>
      </c>
      <c r="B221" s="1">
        <v>46194</v>
      </c>
      <c r="C221" t="s">
        <v>47</v>
      </c>
      <c r="D221" t="s">
        <v>68</v>
      </c>
      <c r="E221" t="s">
        <v>514</v>
      </c>
      <c r="F221" t="s">
        <v>12</v>
      </c>
      <c r="G221" t="s">
        <v>31</v>
      </c>
      <c r="H221">
        <v>83</v>
      </c>
      <c r="I221">
        <v>22</v>
      </c>
      <c r="J221">
        <v>13</v>
      </c>
      <c r="K221" t="s">
        <v>87</v>
      </c>
    </row>
    <row r="222">
      <c r="A222" t="s">
        <v>515</v>
      </c>
      <c r="B222" s="1">
        <v>46195</v>
      </c>
      <c r="C222" t="s">
        <v>47</v>
      </c>
      <c r="D222" t="s">
        <v>79</v>
      </c>
      <c r="E222" t="s">
        <v>516</v>
      </c>
      <c r="F222" t="s">
        <v>4</v>
      </c>
      <c r="G222" t="s">
        <v>30</v>
      </c>
      <c r="H222">
        <v>55</v>
      </c>
      <c r="I222">
        <v>13</v>
      </c>
      <c r="J222">
        <v>5</v>
      </c>
      <c r="K222" t="s">
        <v>171</v>
      </c>
    </row>
    <row r="223">
      <c r="A223" t="s">
        <v>517</v>
      </c>
      <c r="B223" s="1">
        <v>46195</v>
      </c>
      <c r="C223" t="s">
        <v>47</v>
      </c>
      <c r="D223" t="s">
        <v>104</v>
      </c>
      <c r="E223" t="s">
        <v>518</v>
      </c>
      <c r="F223" t="s">
        <v>5</v>
      </c>
      <c r="G223" t="s">
        <v>30</v>
      </c>
      <c r="H223">
        <v>144</v>
      </c>
      <c r="I223">
        <v>37</v>
      </c>
      <c r="J223">
        <v>6</v>
      </c>
      <c r="K223" t="s">
        <v>93</v>
      </c>
    </row>
    <row r="224">
      <c r="A224" t="s">
        <v>519</v>
      </c>
      <c r="B224" s="1">
        <v>46195</v>
      </c>
      <c r="C224" t="s">
        <v>47</v>
      </c>
      <c r="D224" t="s">
        <v>64</v>
      </c>
      <c r="E224" t="s">
        <v>520</v>
      </c>
      <c r="F224" t="s">
        <v>13</v>
      </c>
      <c r="G224" t="s">
        <v>32</v>
      </c>
      <c r="H224">
        <v>95</v>
      </c>
      <c r="I224">
        <v>15</v>
      </c>
      <c r="J224">
        <v>18</v>
      </c>
      <c r="K224" t="s">
        <v>111</v>
      </c>
    </row>
    <row r="225">
      <c r="A225" t="s">
        <v>521</v>
      </c>
      <c r="B225" s="1">
        <v>46196</v>
      </c>
      <c r="C225" t="s">
        <v>47</v>
      </c>
      <c r="D225" t="s">
        <v>83</v>
      </c>
      <c r="E225" t="s">
        <v>522</v>
      </c>
      <c r="F225" t="s">
        <v>8</v>
      </c>
      <c r="G225" t="s">
        <v>32</v>
      </c>
      <c r="H225">
        <v>59</v>
      </c>
      <c r="I225">
        <v>7</v>
      </c>
      <c r="J225">
        <v>8</v>
      </c>
      <c r="K225" t="s">
        <v>106</v>
      </c>
    </row>
    <row r="226">
      <c r="A226" t="s">
        <v>523</v>
      </c>
      <c r="B226" s="1">
        <v>46197</v>
      </c>
      <c r="C226" t="s">
        <v>47</v>
      </c>
      <c r="D226" t="s">
        <v>83</v>
      </c>
      <c r="E226" t="s">
        <v>524</v>
      </c>
      <c r="F226" t="s">
        <v>9</v>
      </c>
      <c r="G226" t="s">
        <v>31</v>
      </c>
      <c r="H226">
        <v>91</v>
      </c>
      <c r="I226">
        <v>8</v>
      </c>
      <c r="J226">
        <v>16</v>
      </c>
      <c r="K226" t="s">
        <v>205</v>
      </c>
    </row>
    <row r="227">
      <c r="A227" t="s">
        <v>525</v>
      </c>
      <c r="B227" s="1">
        <v>46197</v>
      </c>
      <c r="C227" t="s">
        <v>47</v>
      </c>
      <c r="D227" t="s">
        <v>64</v>
      </c>
      <c r="E227" t="s">
        <v>402</v>
      </c>
      <c r="F227" t="s">
        <v>10</v>
      </c>
      <c r="G227" t="s">
        <v>30</v>
      </c>
      <c r="H227">
        <v>146</v>
      </c>
      <c r="I227">
        <v>19</v>
      </c>
      <c r="J227">
        <v>26</v>
      </c>
      <c r="K227" t="s">
        <v>156</v>
      </c>
    </row>
    <row r="228">
      <c r="A228" t="s">
        <v>526</v>
      </c>
      <c r="B228" s="1">
        <v>46197</v>
      </c>
      <c r="C228" t="s">
        <v>47</v>
      </c>
      <c r="D228" t="s">
        <v>79</v>
      </c>
      <c r="E228" t="s">
        <v>527</v>
      </c>
      <c r="F228" t="s">
        <v>11</v>
      </c>
      <c r="G228" t="s">
        <v>31</v>
      </c>
      <c r="H228">
        <v>86</v>
      </c>
      <c r="I228">
        <v>5</v>
      </c>
      <c r="J228">
        <v>12</v>
      </c>
      <c r="K228" t="s">
        <v>77</v>
      </c>
    </row>
    <row r="229">
      <c r="A229" t="s">
        <v>528</v>
      </c>
      <c r="B229" s="1">
        <v>46198</v>
      </c>
      <c r="C229" t="s">
        <v>47</v>
      </c>
      <c r="D229" t="s">
        <v>83</v>
      </c>
      <c r="E229" t="s">
        <v>529</v>
      </c>
      <c r="F229" t="s">
        <v>8</v>
      </c>
      <c r="G229" t="s">
        <v>30</v>
      </c>
      <c r="H229">
        <v>224</v>
      </c>
      <c r="I229">
        <v>22</v>
      </c>
      <c r="J229">
        <v>30</v>
      </c>
      <c r="K229" t="s">
        <v>99</v>
      </c>
    </row>
    <row r="230">
      <c r="A230" t="s">
        <v>530</v>
      </c>
      <c r="B230" s="1">
        <v>46198</v>
      </c>
      <c r="C230" t="s">
        <v>47</v>
      </c>
      <c r="D230" t="s">
        <v>79</v>
      </c>
      <c r="E230" t="s">
        <v>531</v>
      </c>
      <c r="F230" t="s">
        <v>11</v>
      </c>
      <c r="G230" t="s">
        <v>32</v>
      </c>
      <c r="H230">
        <v>12</v>
      </c>
      <c r="I230">
        <v>0</v>
      </c>
      <c r="J230">
        <v>0</v>
      </c>
      <c r="K230" t="s">
        <v>127</v>
      </c>
    </row>
    <row r="231">
      <c r="A231" t="s">
        <v>532</v>
      </c>
      <c r="B231" s="1">
        <v>46198</v>
      </c>
      <c r="C231" t="s">
        <v>47</v>
      </c>
      <c r="D231" t="s">
        <v>72</v>
      </c>
      <c r="E231" t="s">
        <v>155</v>
      </c>
      <c r="F231" t="s">
        <v>13</v>
      </c>
      <c r="G231" t="s">
        <v>30</v>
      </c>
      <c r="H231">
        <v>164</v>
      </c>
      <c r="I231">
        <v>16</v>
      </c>
      <c r="J231">
        <v>5</v>
      </c>
      <c r="K231" t="s">
        <v>111</v>
      </c>
    </row>
    <row r="232">
      <c r="A232" t="s">
        <v>533</v>
      </c>
      <c r="B232" s="1">
        <v>46199</v>
      </c>
      <c r="C232" t="s">
        <v>47</v>
      </c>
      <c r="D232" t="s">
        <v>64</v>
      </c>
      <c r="E232" t="s">
        <v>534</v>
      </c>
      <c r="F232" t="s">
        <v>6</v>
      </c>
      <c r="G232" t="s">
        <v>32</v>
      </c>
      <c r="H232">
        <v>62</v>
      </c>
      <c r="I232">
        <v>9</v>
      </c>
      <c r="J232">
        <v>4</v>
      </c>
      <c r="K232" t="s">
        <v>144</v>
      </c>
    </row>
    <row r="233">
      <c r="A233" t="s">
        <v>535</v>
      </c>
      <c r="B233" s="1">
        <v>46199</v>
      </c>
      <c r="C233" t="s">
        <v>47</v>
      </c>
      <c r="D233" t="s">
        <v>104</v>
      </c>
      <c r="E233" t="s">
        <v>164</v>
      </c>
      <c r="F233" t="s">
        <v>7</v>
      </c>
      <c r="G233" t="s">
        <v>30</v>
      </c>
      <c r="H233">
        <v>13</v>
      </c>
      <c r="I233">
        <v>1</v>
      </c>
      <c r="J233">
        <v>0</v>
      </c>
      <c r="K233" t="s">
        <v>147</v>
      </c>
    </row>
    <row r="234">
      <c r="A234" t="s">
        <v>536</v>
      </c>
      <c r="B234" s="1">
        <v>46200</v>
      </c>
      <c r="C234" t="s">
        <v>47</v>
      </c>
      <c r="D234" t="s">
        <v>104</v>
      </c>
      <c r="E234" t="s">
        <v>537</v>
      </c>
      <c r="F234" t="s">
        <v>4</v>
      </c>
      <c r="G234" t="s">
        <v>30</v>
      </c>
      <c r="H234">
        <v>105</v>
      </c>
      <c r="I234">
        <v>29</v>
      </c>
      <c r="J234">
        <v>15</v>
      </c>
      <c r="K234" t="s">
        <v>74</v>
      </c>
    </row>
    <row r="235">
      <c r="A235" t="s">
        <v>538</v>
      </c>
      <c r="B235" s="1">
        <v>46200</v>
      </c>
      <c r="C235" t="s">
        <v>47</v>
      </c>
      <c r="D235" t="s">
        <v>83</v>
      </c>
      <c r="E235" t="s">
        <v>539</v>
      </c>
      <c r="F235" t="s">
        <v>6</v>
      </c>
      <c r="G235" t="s">
        <v>30</v>
      </c>
      <c r="H235">
        <v>38</v>
      </c>
      <c r="I235">
        <v>10</v>
      </c>
      <c r="J235">
        <v>3</v>
      </c>
      <c r="K235" t="s">
        <v>114</v>
      </c>
    </row>
    <row r="236">
      <c r="A236" t="s">
        <v>540</v>
      </c>
      <c r="B236" s="1">
        <v>46200</v>
      </c>
      <c r="C236" t="s">
        <v>47</v>
      </c>
      <c r="D236" t="s">
        <v>72</v>
      </c>
      <c r="E236" t="s">
        <v>541</v>
      </c>
      <c r="F236" t="s">
        <v>11</v>
      </c>
      <c r="G236" t="s">
        <v>32</v>
      </c>
      <c r="H236">
        <v>46</v>
      </c>
      <c r="I236">
        <v>3</v>
      </c>
      <c r="J236">
        <v>4</v>
      </c>
      <c r="K236" t="s">
        <v>77</v>
      </c>
    </row>
    <row r="237">
      <c r="A237" t="s">
        <v>542</v>
      </c>
      <c r="B237" s="1">
        <v>46201</v>
      </c>
      <c r="C237" t="s">
        <v>47</v>
      </c>
      <c r="D237" t="s">
        <v>72</v>
      </c>
      <c r="E237" t="s">
        <v>543</v>
      </c>
      <c r="F237" t="s">
        <v>8</v>
      </c>
      <c r="G237" t="s">
        <v>30</v>
      </c>
      <c r="H237">
        <v>123</v>
      </c>
      <c r="I237">
        <v>26</v>
      </c>
      <c r="J237">
        <v>12</v>
      </c>
      <c r="K237" t="s">
        <v>99</v>
      </c>
    </row>
    <row r="238">
      <c r="A238" t="s">
        <v>544</v>
      </c>
      <c r="B238" s="1">
        <v>46201</v>
      </c>
      <c r="C238" t="s">
        <v>47</v>
      </c>
      <c r="D238" t="s">
        <v>104</v>
      </c>
      <c r="E238" t="s">
        <v>545</v>
      </c>
      <c r="F238" t="s">
        <v>8</v>
      </c>
      <c r="G238" t="s">
        <v>30</v>
      </c>
      <c r="H238">
        <v>365</v>
      </c>
      <c r="I238">
        <v>91</v>
      </c>
      <c r="J238">
        <v>24</v>
      </c>
      <c r="K238" t="s">
        <v>106</v>
      </c>
    </row>
    <row r="239">
      <c r="A239" t="s">
        <v>546</v>
      </c>
      <c r="B239" s="1">
        <v>46204</v>
      </c>
      <c r="C239" t="s">
        <v>48</v>
      </c>
      <c r="D239" t="s">
        <v>79</v>
      </c>
      <c r="E239" t="s">
        <v>478</v>
      </c>
      <c r="F239" t="s">
        <v>5</v>
      </c>
      <c r="G239" t="s">
        <v>30</v>
      </c>
      <c r="H239">
        <v>205</v>
      </c>
      <c r="I239">
        <v>37</v>
      </c>
      <c r="J239">
        <v>37</v>
      </c>
      <c r="K239" t="s">
        <v>180</v>
      </c>
    </row>
    <row r="240">
      <c r="A240" t="s">
        <v>547</v>
      </c>
      <c r="B240" s="1">
        <v>46204</v>
      </c>
      <c r="C240" t="s">
        <v>48</v>
      </c>
      <c r="D240" t="s">
        <v>64</v>
      </c>
      <c r="E240" t="s">
        <v>548</v>
      </c>
      <c r="F240" t="s">
        <v>5</v>
      </c>
      <c r="G240" t="s">
        <v>31</v>
      </c>
      <c r="H240">
        <v>37</v>
      </c>
      <c r="I240">
        <v>7</v>
      </c>
      <c r="J240">
        <v>2</v>
      </c>
      <c r="K240" t="s">
        <v>130</v>
      </c>
    </row>
    <row r="241">
      <c r="A241" t="s">
        <v>549</v>
      </c>
      <c r="B241" s="1">
        <v>46204</v>
      </c>
      <c r="C241" t="s">
        <v>48</v>
      </c>
      <c r="D241" t="s">
        <v>79</v>
      </c>
      <c r="E241" t="s">
        <v>550</v>
      </c>
      <c r="F241" t="s">
        <v>10</v>
      </c>
      <c r="G241" t="s">
        <v>30</v>
      </c>
      <c r="H241">
        <v>12</v>
      </c>
      <c r="I241">
        <v>1</v>
      </c>
      <c r="J241">
        <v>0</v>
      </c>
      <c r="K241" t="s">
        <v>70</v>
      </c>
    </row>
    <row r="242">
      <c r="A242" t="s">
        <v>551</v>
      </c>
      <c r="B242" s="1">
        <v>46204</v>
      </c>
      <c r="C242" t="s">
        <v>48</v>
      </c>
      <c r="D242" t="s">
        <v>68</v>
      </c>
      <c r="E242" t="s">
        <v>552</v>
      </c>
      <c r="F242" t="s">
        <v>11</v>
      </c>
      <c r="G242" t="s">
        <v>30</v>
      </c>
      <c r="H242">
        <v>52</v>
      </c>
      <c r="I242">
        <v>8</v>
      </c>
      <c r="J242">
        <v>2</v>
      </c>
      <c r="K242" t="s">
        <v>77</v>
      </c>
    </row>
    <row r="243">
      <c r="A243" t="s">
        <v>553</v>
      </c>
      <c r="B243" s="1">
        <v>46205</v>
      </c>
      <c r="C243" t="s">
        <v>48</v>
      </c>
      <c r="D243" t="s">
        <v>72</v>
      </c>
      <c r="E243" t="s">
        <v>554</v>
      </c>
      <c r="F243" t="s">
        <v>12</v>
      </c>
      <c r="G243" t="s">
        <v>31</v>
      </c>
      <c r="H243">
        <v>29</v>
      </c>
      <c r="I243">
        <v>2</v>
      </c>
      <c r="J243">
        <v>4</v>
      </c>
      <c r="K243" t="s">
        <v>87</v>
      </c>
    </row>
    <row r="244">
      <c r="A244" t="s">
        <v>555</v>
      </c>
      <c r="B244" s="1">
        <v>46206</v>
      </c>
      <c r="C244" t="s">
        <v>48</v>
      </c>
      <c r="D244" t="s">
        <v>68</v>
      </c>
      <c r="E244" t="s">
        <v>556</v>
      </c>
      <c r="F244" t="s">
        <v>4</v>
      </c>
      <c r="G244" t="s">
        <v>31</v>
      </c>
      <c r="H244">
        <v>140</v>
      </c>
      <c r="I244">
        <v>8</v>
      </c>
      <c r="J244">
        <v>25</v>
      </c>
      <c r="K244" t="s">
        <v>74</v>
      </c>
    </row>
    <row r="245">
      <c r="A245" t="s">
        <v>557</v>
      </c>
      <c r="B245" s="1">
        <v>46207</v>
      </c>
      <c r="C245" t="s">
        <v>48</v>
      </c>
      <c r="D245" t="s">
        <v>83</v>
      </c>
      <c r="E245" t="s">
        <v>558</v>
      </c>
      <c r="F245" t="s">
        <v>4</v>
      </c>
      <c r="G245" t="s">
        <v>31</v>
      </c>
      <c r="H245">
        <v>136</v>
      </c>
      <c r="I245">
        <v>18</v>
      </c>
      <c r="J245">
        <v>15</v>
      </c>
      <c r="K245" t="s">
        <v>90</v>
      </c>
    </row>
    <row r="246">
      <c r="A246" t="s">
        <v>559</v>
      </c>
      <c r="B246" s="1">
        <v>46207</v>
      </c>
      <c r="C246" t="s">
        <v>48</v>
      </c>
      <c r="D246" t="s">
        <v>72</v>
      </c>
      <c r="E246" t="s">
        <v>560</v>
      </c>
      <c r="F246" t="s">
        <v>6</v>
      </c>
      <c r="G246" t="s">
        <v>31</v>
      </c>
      <c r="H246">
        <v>66</v>
      </c>
      <c r="I246">
        <v>6</v>
      </c>
      <c r="J246">
        <v>6</v>
      </c>
      <c r="K246" t="s">
        <v>114</v>
      </c>
    </row>
    <row r="247">
      <c r="A247" t="s">
        <v>561</v>
      </c>
      <c r="B247" s="1">
        <v>46208</v>
      </c>
      <c r="C247" t="s">
        <v>48</v>
      </c>
      <c r="D247" t="s">
        <v>83</v>
      </c>
      <c r="E247" t="s">
        <v>562</v>
      </c>
      <c r="F247" t="s">
        <v>9</v>
      </c>
      <c r="G247" t="s">
        <v>30</v>
      </c>
      <c r="H247">
        <v>33</v>
      </c>
      <c r="I247">
        <v>6</v>
      </c>
      <c r="J247">
        <v>2</v>
      </c>
      <c r="K247" t="s">
        <v>227</v>
      </c>
    </row>
    <row r="248">
      <c r="A248" t="s">
        <v>563</v>
      </c>
      <c r="B248" s="1">
        <v>46210</v>
      </c>
      <c r="C248" t="s">
        <v>48</v>
      </c>
      <c r="D248" t="s">
        <v>104</v>
      </c>
      <c r="E248" t="s">
        <v>564</v>
      </c>
      <c r="F248" t="s">
        <v>6</v>
      </c>
      <c r="G248" t="s">
        <v>31</v>
      </c>
      <c r="H248">
        <v>13</v>
      </c>
      <c r="I248">
        <v>3</v>
      </c>
      <c r="J248">
        <v>0</v>
      </c>
      <c r="K248" t="s">
        <v>144</v>
      </c>
    </row>
    <row r="249">
      <c r="A249" t="s">
        <v>565</v>
      </c>
      <c r="B249" s="1">
        <v>46210</v>
      </c>
      <c r="C249" t="s">
        <v>48</v>
      </c>
      <c r="D249" t="s">
        <v>104</v>
      </c>
      <c r="E249" t="s">
        <v>566</v>
      </c>
      <c r="F249" t="s">
        <v>13</v>
      </c>
      <c r="G249" t="s">
        <v>32</v>
      </c>
      <c r="H249">
        <v>49</v>
      </c>
      <c r="I249">
        <v>11</v>
      </c>
      <c r="J249">
        <v>4</v>
      </c>
      <c r="K249" t="s">
        <v>111</v>
      </c>
    </row>
    <row r="250">
      <c r="A250" t="s">
        <v>567</v>
      </c>
      <c r="B250" s="1">
        <v>46211</v>
      </c>
      <c r="C250" t="s">
        <v>48</v>
      </c>
      <c r="D250" t="s">
        <v>64</v>
      </c>
      <c r="E250" t="s">
        <v>568</v>
      </c>
      <c r="F250" t="s">
        <v>7</v>
      </c>
      <c r="G250" t="s">
        <v>31</v>
      </c>
      <c r="H250">
        <v>56</v>
      </c>
      <c r="I250">
        <v>5</v>
      </c>
      <c r="J250">
        <v>10</v>
      </c>
      <c r="K250" t="s">
        <v>66</v>
      </c>
    </row>
    <row r="251">
      <c r="A251" t="s">
        <v>569</v>
      </c>
      <c r="B251" s="1">
        <v>46211</v>
      </c>
      <c r="C251" t="s">
        <v>48</v>
      </c>
      <c r="D251" t="s">
        <v>104</v>
      </c>
      <c r="E251" t="s">
        <v>570</v>
      </c>
      <c r="F251" t="s">
        <v>9</v>
      </c>
      <c r="G251" t="s">
        <v>31</v>
      </c>
      <c r="H251">
        <v>138</v>
      </c>
      <c r="I251">
        <v>30</v>
      </c>
      <c r="J251">
        <v>6</v>
      </c>
      <c r="K251" t="s">
        <v>205</v>
      </c>
    </row>
    <row r="252">
      <c r="A252" t="s">
        <v>571</v>
      </c>
      <c r="B252" s="1">
        <v>46211</v>
      </c>
      <c r="C252" t="s">
        <v>48</v>
      </c>
      <c r="D252" t="s">
        <v>83</v>
      </c>
      <c r="E252" t="s">
        <v>572</v>
      </c>
      <c r="F252" t="s">
        <v>13</v>
      </c>
      <c r="G252" t="s">
        <v>31</v>
      </c>
      <c r="H252">
        <v>119</v>
      </c>
      <c r="I252">
        <v>15</v>
      </c>
      <c r="J252">
        <v>9</v>
      </c>
      <c r="K252" t="s">
        <v>102</v>
      </c>
    </row>
    <row r="253">
      <c r="A253" t="s">
        <v>573</v>
      </c>
      <c r="B253" s="1">
        <v>46213</v>
      </c>
      <c r="C253" t="s">
        <v>48</v>
      </c>
      <c r="D253" t="s">
        <v>83</v>
      </c>
      <c r="E253" t="s">
        <v>574</v>
      </c>
      <c r="F253" t="s">
        <v>6</v>
      </c>
      <c r="G253" t="s">
        <v>30</v>
      </c>
      <c r="H253">
        <v>37</v>
      </c>
      <c r="I253">
        <v>8</v>
      </c>
      <c r="J253">
        <v>3</v>
      </c>
      <c r="K253" t="s">
        <v>114</v>
      </c>
    </row>
    <row r="254">
      <c r="A254" t="s">
        <v>575</v>
      </c>
      <c r="B254" s="1">
        <v>46213</v>
      </c>
      <c r="C254" t="s">
        <v>48</v>
      </c>
      <c r="D254" t="s">
        <v>72</v>
      </c>
      <c r="E254" t="s">
        <v>576</v>
      </c>
      <c r="F254" t="s">
        <v>12</v>
      </c>
      <c r="G254" t="s">
        <v>32</v>
      </c>
      <c r="H254">
        <v>935</v>
      </c>
      <c r="I254">
        <v>102</v>
      </c>
      <c r="J254">
        <v>96</v>
      </c>
      <c r="K254" t="s">
        <v>220</v>
      </c>
    </row>
    <row r="255">
      <c r="A255" t="s">
        <v>577</v>
      </c>
      <c r="B255" s="1">
        <v>46214</v>
      </c>
      <c r="C255" t="s">
        <v>48</v>
      </c>
      <c r="D255" t="s">
        <v>64</v>
      </c>
      <c r="E255" t="s">
        <v>578</v>
      </c>
      <c r="F255" t="s">
        <v>5</v>
      </c>
      <c r="G255" t="s">
        <v>30</v>
      </c>
      <c r="H255">
        <v>5</v>
      </c>
      <c r="I255">
        <v>1</v>
      </c>
      <c r="J255">
        <v>0</v>
      </c>
      <c r="K255" t="s">
        <v>130</v>
      </c>
    </row>
    <row r="256">
      <c r="A256" t="s">
        <v>579</v>
      </c>
      <c r="B256" s="1">
        <v>46214</v>
      </c>
      <c r="C256" t="s">
        <v>48</v>
      </c>
      <c r="D256" t="s">
        <v>83</v>
      </c>
      <c r="E256" t="s">
        <v>580</v>
      </c>
      <c r="F256" t="s">
        <v>9</v>
      </c>
      <c r="G256" t="s">
        <v>31</v>
      </c>
      <c r="H256">
        <v>103</v>
      </c>
      <c r="I256">
        <v>12</v>
      </c>
      <c r="J256">
        <v>12</v>
      </c>
      <c r="K256" t="s">
        <v>205</v>
      </c>
    </row>
    <row r="257">
      <c r="A257" t="s">
        <v>581</v>
      </c>
      <c r="B257" s="1">
        <v>46214</v>
      </c>
      <c r="C257" t="s">
        <v>48</v>
      </c>
      <c r="D257" t="s">
        <v>104</v>
      </c>
      <c r="E257" t="s">
        <v>582</v>
      </c>
      <c r="F257" t="s">
        <v>11</v>
      </c>
      <c r="G257" t="s">
        <v>31</v>
      </c>
      <c r="H257">
        <v>270</v>
      </c>
      <c r="I257">
        <v>50</v>
      </c>
      <c r="J257">
        <v>8</v>
      </c>
      <c r="K257" t="s">
        <v>248</v>
      </c>
    </row>
    <row r="258">
      <c r="A258" t="s">
        <v>583</v>
      </c>
      <c r="B258" s="1">
        <v>46214</v>
      </c>
      <c r="C258" t="s">
        <v>48</v>
      </c>
      <c r="D258" t="s">
        <v>64</v>
      </c>
      <c r="E258" t="s">
        <v>258</v>
      </c>
      <c r="F258" t="s">
        <v>12</v>
      </c>
      <c r="G258" t="s">
        <v>32</v>
      </c>
      <c r="H258">
        <v>238</v>
      </c>
      <c r="I258">
        <v>35</v>
      </c>
      <c r="J258">
        <v>37</v>
      </c>
      <c r="K258" t="s">
        <v>220</v>
      </c>
    </row>
    <row r="259">
      <c r="A259" t="s">
        <v>584</v>
      </c>
      <c r="B259" s="1">
        <v>46214</v>
      </c>
      <c r="C259" t="s">
        <v>48</v>
      </c>
      <c r="D259" t="s">
        <v>83</v>
      </c>
      <c r="E259" t="s">
        <v>585</v>
      </c>
      <c r="F259" t="s">
        <v>12</v>
      </c>
      <c r="G259" t="s">
        <v>30</v>
      </c>
      <c r="H259">
        <v>258</v>
      </c>
      <c r="I259">
        <v>20</v>
      </c>
      <c r="J259">
        <v>33</v>
      </c>
      <c r="K259" t="s">
        <v>81</v>
      </c>
    </row>
    <row r="260">
      <c r="A260" t="s">
        <v>586</v>
      </c>
      <c r="B260" s="1">
        <v>46216</v>
      </c>
      <c r="C260" t="s">
        <v>48</v>
      </c>
      <c r="D260" t="s">
        <v>64</v>
      </c>
      <c r="E260" t="s">
        <v>587</v>
      </c>
      <c r="F260" t="s">
        <v>4</v>
      </c>
      <c r="G260" t="s">
        <v>31</v>
      </c>
      <c r="H260">
        <v>42</v>
      </c>
      <c r="I260">
        <v>3</v>
      </c>
      <c r="J260">
        <v>4</v>
      </c>
      <c r="K260" t="s">
        <v>90</v>
      </c>
    </row>
    <row r="261">
      <c r="A261" t="s">
        <v>588</v>
      </c>
      <c r="B261" s="1">
        <v>46216</v>
      </c>
      <c r="C261" t="s">
        <v>48</v>
      </c>
      <c r="D261" t="s">
        <v>72</v>
      </c>
      <c r="E261" t="s">
        <v>589</v>
      </c>
      <c r="F261" t="s">
        <v>13</v>
      </c>
      <c r="G261" t="s">
        <v>32</v>
      </c>
      <c r="H261">
        <v>1604</v>
      </c>
      <c r="I261">
        <v>232</v>
      </c>
      <c r="J261">
        <v>97</v>
      </c>
      <c r="K261" t="s">
        <v>102</v>
      </c>
    </row>
    <row r="262">
      <c r="A262" t="s">
        <v>590</v>
      </c>
      <c r="B262" s="1">
        <v>46218</v>
      </c>
      <c r="C262" t="s">
        <v>48</v>
      </c>
      <c r="D262" t="s">
        <v>64</v>
      </c>
      <c r="E262" t="s">
        <v>591</v>
      </c>
      <c r="F262" t="s">
        <v>10</v>
      </c>
      <c r="G262" t="s">
        <v>31</v>
      </c>
      <c r="H262">
        <v>27</v>
      </c>
      <c r="I262">
        <v>5</v>
      </c>
      <c r="J262">
        <v>3</v>
      </c>
      <c r="K262" t="s">
        <v>156</v>
      </c>
    </row>
    <row r="263">
      <c r="A263" t="s">
        <v>592</v>
      </c>
      <c r="B263" s="1">
        <v>46219</v>
      </c>
      <c r="C263" t="s">
        <v>48</v>
      </c>
      <c r="D263" t="s">
        <v>83</v>
      </c>
      <c r="E263" t="s">
        <v>593</v>
      </c>
      <c r="F263" t="s">
        <v>5</v>
      </c>
      <c r="G263" t="s">
        <v>30</v>
      </c>
      <c r="H263">
        <v>156</v>
      </c>
      <c r="I263">
        <v>32</v>
      </c>
      <c r="J263">
        <v>5</v>
      </c>
      <c r="K263" t="s">
        <v>93</v>
      </c>
    </row>
    <row r="264">
      <c r="A264" t="s">
        <v>594</v>
      </c>
      <c r="B264" s="1">
        <v>46219</v>
      </c>
      <c r="C264" t="s">
        <v>48</v>
      </c>
      <c r="D264" t="s">
        <v>83</v>
      </c>
      <c r="E264" t="s">
        <v>595</v>
      </c>
      <c r="F264" t="s">
        <v>7</v>
      </c>
      <c r="G264" t="s">
        <v>30</v>
      </c>
      <c r="H264">
        <v>24</v>
      </c>
      <c r="I264">
        <v>2</v>
      </c>
      <c r="J264">
        <v>4</v>
      </c>
      <c r="K264" t="s">
        <v>117</v>
      </c>
    </row>
    <row r="265">
      <c r="A265" t="s">
        <v>596</v>
      </c>
      <c r="B265" s="1">
        <v>46219</v>
      </c>
      <c r="C265" t="s">
        <v>48</v>
      </c>
      <c r="D265" t="s">
        <v>72</v>
      </c>
      <c r="E265" t="s">
        <v>597</v>
      </c>
      <c r="F265" t="s">
        <v>9</v>
      </c>
      <c r="G265" t="s">
        <v>30</v>
      </c>
      <c r="H265">
        <v>34</v>
      </c>
      <c r="I265">
        <v>9</v>
      </c>
      <c r="J265">
        <v>2</v>
      </c>
      <c r="K265" t="s">
        <v>122</v>
      </c>
    </row>
    <row r="266">
      <c r="A266" t="s">
        <v>598</v>
      </c>
      <c r="B266" s="1">
        <v>46220</v>
      </c>
      <c r="C266" t="s">
        <v>48</v>
      </c>
      <c r="D266" t="s">
        <v>79</v>
      </c>
      <c r="E266" t="s">
        <v>599</v>
      </c>
      <c r="F266" t="s">
        <v>4</v>
      </c>
      <c r="G266" t="s">
        <v>31</v>
      </c>
      <c r="H266">
        <v>85</v>
      </c>
      <c r="I266">
        <v>10</v>
      </c>
      <c r="J266">
        <v>14</v>
      </c>
      <c r="K266" t="s">
        <v>90</v>
      </c>
    </row>
    <row r="267">
      <c r="A267" t="s">
        <v>600</v>
      </c>
      <c r="B267" s="1">
        <v>46220</v>
      </c>
      <c r="C267" t="s">
        <v>48</v>
      </c>
      <c r="D267" t="s">
        <v>72</v>
      </c>
      <c r="E267" t="s">
        <v>601</v>
      </c>
      <c r="F267" t="s">
        <v>5</v>
      </c>
      <c r="G267" t="s">
        <v>30</v>
      </c>
      <c r="H267">
        <v>53</v>
      </c>
      <c r="I267">
        <v>12</v>
      </c>
      <c r="J267">
        <v>9</v>
      </c>
      <c r="K267" t="s">
        <v>93</v>
      </c>
    </row>
    <row r="268">
      <c r="A268" t="s">
        <v>602</v>
      </c>
      <c r="B268" s="1">
        <v>46220</v>
      </c>
      <c r="C268" t="s">
        <v>48</v>
      </c>
      <c r="D268" t="s">
        <v>64</v>
      </c>
      <c r="E268" t="s">
        <v>603</v>
      </c>
      <c r="F268" t="s">
        <v>7</v>
      </c>
      <c r="G268" t="s">
        <v>32</v>
      </c>
      <c r="H268">
        <v>135</v>
      </c>
      <c r="I268">
        <v>32</v>
      </c>
      <c r="J268">
        <v>10</v>
      </c>
      <c r="K268" t="s">
        <v>117</v>
      </c>
    </row>
    <row r="269">
      <c r="A269" t="s">
        <v>604</v>
      </c>
      <c r="B269" s="1">
        <v>46221</v>
      </c>
      <c r="C269" t="s">
        <v>48</v>
      </c>
      <c r="D269" t="s">
        <v>83</v>
      </c>
      <c r="E269" t="s">
        <v>605</v>
      </c>
      <c r="F269" t="s">
        <v>8</v>
      </c>
      <c r="G269" t="s">
        <v>30</v>
      </c>
      <c r="H269">
        <v>207</v>
      </c>
      <c r="I269">
        <v>60</v>
      </c>
      <c r="J269">
        <v>18</v>
      </c>
      <c r="K269" t="s">
        <v>106</v>
      </c>
    </row>
    <row r="270">
      <c r="A270" t="s">
        <v>606</v>
      </c>
      <c r="B270" s="1">
        <v>46222</v>
      </c>
      <c r="C270" t="s">
        <v>48</v>
      </c>
      <c r="D270" t="s">
        <v>64</v>
      </c>
      <c r="E270" t="s">
        <v>607</v>
      </c>
      <c r="F270" t="s">
        <v>6</v>
      </c>
      <c r="G270" t="s">
        <v>30</v>
      </c>
      <c r="H270">
        <v>93</v>
      </c>
      <c r="I270">
        <v>26</v>
      </c>
      <c r="J270">
        <v>6</v>
      </c>
      <c r="K270" t="s">
        <v>114</v>
      </c>
    </row>
    <row r="271">
      <c r="A271" t="s">
        <v>608</v>
      </c>
      <c r="B271" s="1">
        <v>46223</v>
      </c>
      <c r="C271" t="s">
        <v>48</v>
      </c>
      <c r="D271" t="s">
        <v>79</v>
      </c>
      <c r="E271" t="s">
        <v>388</v>
      </c>
      <c r="F271" t="s">
        <v>12</v>
      </c>
      <c r="G271" t="s">
        <v>30</v>
      </c>
      <c r="H271">
        <v>285</v>
      </c>
      <c r="I271">
        <v>57</v>
      </c>
      <c r="J271">
        <v>19</v>
      </c>
      <c r="K271" t="s">
        <v>81</v>
      </c>
    </row>
    <row r="272">
      <c r="A272" t="s">
        <v>609</v>
      </c>
      <c r="B272" s="1">
        <v>46224</v>
      </c>
      <c r="C272" t="s">
        <v>48</v>
      </c>
      <c r="D272" t="s">
        <v>72</v>
      </c>
      <c r="E272" t="s">
        <v>508</v>
      </c>
      <c r="F272" t="s">
        <v>4</v>
      </c>
      <c r="G272" t="s">
        <v>31</v>
      </c>
      <c r="H272">
        <v>18</v>
      </c>
      <c r="I272">
        <v>4</v>
      </c>
      <c r="J272">
        <v>1</v>
      </c>
      <c r="K272" t="s">
        <v>74</v>
      </c>
    </row>
    <row r="273">
      <c r="A273" t="s">
        <v>610</v>
      </c>
      <c r="B273" s="1">
        <v>46226</v>
      </c>
      <c r="C273" t="s">
        <v>48</v>
      </c>
      <c r="D273" t="s">
        <v>83</v>
      </c>
      <c r="E273" t="s">
        <v>611</v>
      </c>
      <c r="F273" t="s">
        <v>4</v>
      </c>
      <c r="G273" t="s">
        <v>30</v>
      </c>
      <c r="H273">
        <v>36</v>
      </c>
      <c r="I273">
        <v>7</v>
      </c>
      <c r="J273">
        <v>3</v>
      </c>
      <c r="K273" t="s">
        <v>171</v>
      </c>
    </row>
    <row r="274">
      <c r="A274" t="s">
        <v>612</v>
      </c>
      <c r="B274" s="1">
        <v>46226</v>
      </c>
      <c r="C274" t="s">
        <v>48</v>
      </c>
      <c r="D274" t="s">
        <v>79</v>
      </c>
      <c r="E274" t="s">
        <v>613</v>
      </c>
      <c r="F274" t="s">
        <v>5</v>
      </c>
      <c r="G274" t="s">
        <v>32</v>
      </c>
      <c r="H274">
        <v>208</v>
      </c>
      <c r="I274">
        <v>35</v>
      </c>
      <c r="J274">
        <v>25</v>
      </c>
      <c r="K274" t="s">
        <v>130</v>
      </c>
    </row>
    <row r="275">
      <c r="A275" t="s">
        <v>614</v>
      </c>
      <c r="B275" s="1">
        <v>46227</v>
      </c>
      <c r="C275" t="s">
        <v>48</v>
      </c>
      <c r="D275" t="s">
        <v>68</v>
      </c>
      <c r="E275" t="s">
        <v>320</v>
      </c>
      <c r="F275" t="s">
        <v>8</v>
      </c>
      <c r="G275" t="s">
        <v>32</v>
      </c>
      <c r="H275">
        <v>33</v>
      </c>
      <c r="I275">
        <v>4</v>
      </c>
      <c r="J275">
        <v>1</v>
      </c>
      <c r="K275" t="s">
        <v>106</v>
      </c>
    </row>
    <row r="276">
      <c r="A276" t="s">
        <v>615</v>
      </c>
      <c r="B276" s="1">
        <v>46228</v>
      </c>
      <c r="C276" t="s">
        <v>48</v>
      </c>
      <c r="D276" t="s">
        <v>104</v>
      </c>
      <c r="E276" t="s">
        <v>292</v>
      </c>
      <c r="F276" t="s">
        <v>9</v>
      </c>
      <c r="G276" t="s">
        <v>30</v>
      </c>
      <c r="H276">
        <v>110</v>
      </c>
      <c r="I276">
        <v>27</v>
      </c>
      <c r="J276">
        <v>13</v>
      </c>
      <c r="K276" t="s">
        <v>205</v>
      </c>
    </row>
    <row r="277">
      <c r="A277" t="s">
        <v>616</v>
      </c>
      <c r="B277" s="1">
        <v>46228</v>
      </c>
      <c r="C277" t="s">
        <v>48</v>
      </c>
      <c r="D277" t="s">
        <v>83</v>
      </c>
      <c r="E277" t="s">
        <v>617</v>
      </c>
      <c r="F277" t="s">
        <v>11</v>
      </c>
      <c r="G277" t="s">
        <v>30</v>
      </c>
      <c r="H277">
        <v>104</v>
      </c>
      <c r="I277">
        <v>22</v>
      </c>
      <c r="J277">
        <v>14</v>
      </c>
      <c r="K277" t="s">
        <v>127</v>
      </c>
    </row>
    <row r="278">
      <c r="A278" t="s">
        <v>618</v>
      </c>
      <c r="B278" s="1">
        <v>46228</v>
      </c>
      <c r="C278" t="s">
        <v>48</v>
      </c>
      <c r="D278" t="s">
        <v>64</v>
      </c>
      <c r="E278" t="s">
        <v>619</v>
      </c>
      <c r="F278" t="s">
        <v>13</v>
      </c>
      <c r="G278" t="s">
        <v>31</v>
      </c>
      <c r="H278">
        <v>58</v>
      </c>
      <c r="I278">
        <v>3</v>
      </c>
      <c r="J278">
        <v>10</v>
      </c>
      <c r="K278" t="s">
        <v>328</v>
      </c>
    </row>
    <row r="279">
      <c r="A279" t="s">
        <v>620</v>
      </c>
      <c r="B279" s="1">
        <v>46229</v>
      </c>
      <c r="C279" t="s">
        <v>48</v>
      </c>
      <c r="D279" t="s">
        <v>104</v>
      </c>
      <c r="E279" t="s">
        <v>621</v>
      </c>
      <c r="F279" t="s">
        <v>4</v>
      </c>
      <c r="G279" t="s">
        <v>31</v>
      </c>
      <c r="H279">
        <v>233</v>
      </c>
      <c r="I279">
        <v>47</v>
      </c>
      <c r="J279">
        <v>33</v>
      </c>
      <c r="K279" t="s">
        <v>171</v>
      </c>
    </row>
    <row r="280">
      <c r="A280" t="s">
        <v>622</v>
      </c>
      <c r="B280" s="1">
        <v>46229</v>
      </c>
      <c r="C280" t="s">
        <v>48</v>
      </c>
      <c r="D280" t="s">
        <v>79</v>
      </c>
      <c r="E280" t="s">
        <v>151</v>
      </c>
      <c r="F280" t="s">
        <v>8</v>
      </c>
      <c r="G280" t="s">
        <v>31</v>
      </c>
      <c r="H280">
        <v>97</v>
      </c>
      <c r="I280">
        <v>26</v>
      </c>
      <c r="J280">
        <v>4</v>
      </c>
      <c r="K280" t="s">
        <v>270</v>
      </c>
    </row>
    <row r="281">
      <c r="A281" t="s">
        <v>623</v>
      </c>
      <c r="B281" s="1">
        <v>46229</v>
      </c>
      <c r="C281" t="s">
        <v>48</v>
      </c>
      <c r="D281" t="s">
        <v>79</v>
      </c>
      <c r="E281" t="s">
        <v>624</v>
      </c>
      <c r="F281" t="s">
        <v>8</v>
      </c>
      <c r="G281" t="s">
        <v>30</v>
      </c>
      <c r="H281">
        <v>24</v>
      </c>
      <c r="I281">
        <v>7</v>
      </c>
      <c r="J281">
        <v>2</v>
      </c>
      <c r="K281" t="s">
        <v>99</v>
      </c>
    </row>
    <row r="282">
      <c r="A282" t="s">
        <v>625</v>
      </c>
      <c r="B282" s="1">
        <v>46229</v>
      </c>
      <c r="C282" t="s">
        <v>48</v>
      </c>
      <c r="D282" t="s">
        <v>72</v>
      </c>
      <c r="E282" t="s">
        <v>235</v>
      </c>
      <c r="F282" t="s">
        <v>11</v>
      </c>
      <c r="G282" t="s">
        <v>31</v>
      </c>
      <c r="H282">
        <v>121</v>
      </c>
      <c r="I282">
        <v>28</v>
      </c>
      <c r="J282">
        <v>13</v>
      </c>
      <c r="K282" t="s">
        <v>127</v>
      </c>
    </row>
    <row r="283">
      <c r="A283" t="s">
        <v>626</v>
      </c>
      <c r="B283" s="1">
        <v>46229</v>
      </c>
      <c r="C283" t="s">
        <v>48</v>
      </c>
      <c r="D283" t="s">
        <v>104</v>
      </c>
      <c r="E283" t="s">
        <v>627</v>
      </c>
      <c r="F283" t="s">
        <v>12</v>
      </c>
      <c r="G283" t="s">
        <v>32</v>
      </c>
      <c r="H283">
        <v>78</v>
      </c>
      <c r="I283">
        <v>7</v>
      </c>
      <c r="J283">
        <v>5</v>
      </c>
      <c r="K283" t="s">
        <v>220</v>
      </c>
    </row>
    <row r="284">
      <c r="A284" t="s">
        <v>628</v>
      </c>
      <c r="B284" s="1">
        <v>46230</v>
      </c>
      <c r="C284" t="s">
        <v>48</v>
      </c>
      <c r="D284" t="s">
        <v>83</v>
      </c>
      <c r="E284" t="s">
        <v>629</v>
      </c>
      <c r="F284" t="s">
        <v>4</v>
      </c>
      <c r="G284" t="s">
        <v>30</v>
      </c>
      <c r="H284">
        <v>69</v>
      </c>
      <c r="I284">
        <v>13</v>
      </c>
      <c r="J284">
        <v>8</v>
      </c>
      <c r="K284" t="s">
        <v>74</v>
      </c>
    </row>
    <row r="285">
      <c r="A285" t="s">
        <v>630</v>
      </c>
      <c r="B285" s="1">
        <v>46230</v>
      </c>
      <c r="C285" t="s">
        <v>48</v>
      </c>
      <c r="D285" t="s">
        <v>64</v>
      </c>
      <c r="E285" t="s">
        <v>168</v>
      </c>
      <c r="F285" t="s">
        <v>7</v>
      </c>
      <c r="G285" t="s">
        <v>32</v>
      </c>
      <c r="H285">
        <v>134</v>
      </c>
      <c r="I285">
        <v>26</v>
      </c>
      <c r="J285">
        <v>24</v>
      </c>
      <c r="K285" t="s">
        <v>66</v>
      </c>
    </row>
    <row r="286">
      <c r="A286" t="s">
        <v>631</v>
      </c>
      <c r="B286" s="1">
        <v>46230</v>
      </c>
      <c r="C286" t="s">
        <v>48</v>
      </c>
      <c r="D286" t="s">
        <v>79</v>
      </c>
      <c r="E286" t="s">
        <v>632</v>
      </c>
      <c r="F286" t="s">
        <v>9</v>
      </c>
      <c r="G286" t="s">
        <v>31</v>
      </c>
      <c r="H286">
        <v>99</v>
      </c>
      <c r="I286">
        <v>12</v>
      </c>
      <c r="J286">
        <v>9</v>
      </c>
      <c r="K286" t="s">
        <v>227</v>
      </c>
    </row>
    <row r="287">
      <c r="A287" t="s">
        <v>633</v>
      </c>
      <c r="B287" s="1">
        <v>46231</v>
      </c>
      <c r="C287" t="s">
        <v>48</v>
      </c>
      <c r="D287" t="s">
        <v>72</v>
      </c>
      <c r="E287" t="s">
        <v>407</v>
      </c>
      <c r="F287" t="s">
        <v>10</v>
      </c>
      <c r="G287" t="s">
        <v>31</v>
      </c>
      <c r="H287">
        <v>17</v>
      </c>
      <c r="I287">
        <v>1</v>
      </c>
      <c r="J287">
        <v>3</v>
      </c>
      <c r="K287" t="s">
        <v>156</v>
      </c>
    </row>
    <row r="288">
      <c r="A288" t="s">
        <v>634</v>
      </c>
      <c r="B288" s="1">
        <v>46231</v>
      </c>
      <c r="C288" t="s">
        <v>48</v>
      </c>
      <c r="D288" t="s">
        <v>79</v>
      </c>
      <c r="E288" t="s">
        <v>635</v>
      </c>
      <c r="F288" t="s">
        <v>11</v>
      </c>
      <c r="G288" t="s">
        <v>31</v>
      </c>
      <c r="H288">
        <v>24</v>
      </c>
      <c r="I288">
        <v>4</v>
      </c>
      <c r="J288">
        <v>2</v>
      </c>
      <c r="K288" t="s">
        <v>248</v>
      </c>
    </row>
    <row r="289">
      <c r="A289" t="s">
        <v>636</v>
      </c>
      <c r="B289" s="1">
        <v>46235</v>
      </c>
      <c r="C289" t="s">
        <v>49</v>
      </c>
      <c r="D289" t="s">
        <v>79</v>
      </c>
      <c r="E289" t="s">
        <v>637</v>
      </c>
      <c r="F289" t="s">
        <v>4</v>
      </c>
      <c r="G289" t="s">
        <v>31</v>
      </c>
      <c r="H289">
        <v>117</v>
      </c>
      <c r="I289">
        <v>16</v>
      </c>
      <c r="J289">
        <v>7</v>
      </c>
      <c r="K289" t="s">
        <v>74</v>
      </c>
    </row>
    <row r="290">
      <c r="A290" t="s">
        <v>638</v>
      </c>
      <c r="B290" s="1">
        <v>46236</v>
      </c>
      <c r="C290" t="s">
        <v>49</v>
      </c>
      <c r="D290" t="s">
        <v>68</v>
      </c>
      <c r="E290" t="s">
        <v>639</v>
      </c>
      <c r="F290" t="s">
        <v>6</v>
      </c>
      <c r="G290" t="s">
        <v>31</v>
      </c>
      <c r="H290">
        <v>57</v>
      </c>
      <c r="I290">
        <v>4</v>
      </c>
      <c r="J290">
        <v>3</v>
      </c>
      <c r="K290" t="s">
        <v>144</v>
      </c>
    </row>
    <row r="291">
      <c r="A291" t="s">
        <v>640</v>
      </c>
      <c r="B291" s="1">
        <v>46236</v>
      </c>
      <c r="C291" t="s">
        <v>49</v>
      </c>
      <c r="D291" t="s">
        <v>64</v>
      </c>
      <c r="E291" t="s">
        <v>237</v>
      </c>
      <c r="F291" t="s">
        <v>11</v>
      </c>
      <c r="G291" t="s">
        <v>32</v>
      </c>
      <c r="H291">
        <v>233</v>
      </c>
      <c r="I291">
        <v>17</v>
      </c>
      <c r="J291">
        <v>23</v>
      </c>
      <c r="K291" t="s">
        <v>248</v>
      </c>
    </row>
    <row r="292">
      <c r="A292" t="s">
        <v>641</v>
      </c>
      <c r="B292" s="1">
        <v>46236</v>
      </c>
      <c r="C292" t="s">
        <v>49</v>
      </c>
      <c r="D292" t="s">
        <v>83</v>
      </c>
      <c r="E292" t="s">
        <v>642</v>
      </c>
      <c r="F292" t="s">
        <v>13</v>
      </c>
      <c r="G292" t="s">
        <v>31</v>
      </c>
      <c r="H292">
        <v>153</v>
      </c>
      <c r="I292">
        <v>8</v>
      </c>
      <c r="J292">
        <v>10</v>
      </c>
      <c r="K292" t="s">
        <v>111</v>
      </c>
    </row>
    <row r="293">
      <c r="A293" t="s">
        <v>643</v>
      </c>
      <c r="B293" s="1">
        <v>46237</v>
      </c>
      <c r="C293" t="s">
        <v>49</v>
      </c>
      <c r="D293" t="s">
        <v>104</v>
      </c>
      <c r="E293" t="s">
        <v>644</v>
      </c>
      <c r="F293" t="s">
        <v>9</v>
      </c>
      <c r="G293" t="s">
        <v>30</v>
      </c>
      <c r="H293">
        <v>9</v>
      </c>
      <c r="I293">
        <v>0</v>
      </c>
      <c r="J293">
        <v>1</v>
      </c>
      <c r="K293" t="s">
        <v>227</v>
      </c>
    </row>
    <row r="294">
      <c r="A294" t="s">
        <v>645</v>
      </c>
      <c r="B294" s="1">
        <v>46239</v>
      </c>
      <c r="C294" t="s">
        <v>49</v>
      </c>
      <c r="D294" t="s">
        <v>104</v>
      </c>
      <c r="E294" t="s">
        <v>646</v>
      </c>
      <c r="F294" t="s">
        <v>8</v>
      </c>
      <c r="G294" t="s">
        <v>30</v>
      </c>
      <c r="H294">
        <v>133</v>
      </c>
      <c r="I294">
        <v>8</v>
      </c>
      <c r="J294">
        <v>12</v>
      </c>
      <c r="K294" t="s">
        <v>99</v>
      </c>
    </row>
    <row r="295">
      <c r="A295" t="s">
        <v>647</v>
      </c>
      <c r="B295" s="1">
        <v>46239</v>
      </c>
      <c r="C295" t="s">
        <v>49</v>
      </c>
      <c r="D295" t="s">
        <v>64</v>
      </c>
      <c r="E295" t="s">
        <v>548</v>
      </c>
      <c r="F295" t="s">
        <v>11</v>
      </c>
      <c r="G295" t="s">
        <v>32</v>
      </c>
      <c r="H295">
        <v>17</v>
      </c>
      <c r="I295">
        <v>3</v>
      </c>
      <c r="J295">
        <v>2</v>
      </c>
      <c r="K295" t="s">
        <v>77</v>
      </c>
    </row>
    <row r="296">
      <c r="A296" t="s">
        <v>648</v>
      </c>
      <c r="B296" s="1">
        <v>46240</v>
      </c>
      <c r="C296" t="s">
        <v>49</v>
      </c>
      <c r="D296" t="s">
        <v>83</v>
      </c>
      <c r="E296" t="s">
        <v>414</v>
      </c>
      <c r="F296" t="s">
        <v>5</v>
      </c>
      <c r="G296" t="s">
        <v>31</v>
      </c>
      <c r="H296">
        <v>1532</v>
      </c>
      <c r="I296">
        <v>448</v>
      </c>
      <c r="J296">
        <v>125</v>
      </c>
      <c r="K296" t="s">
        <v>130</v>
      </c>
    </row>
    <row r="297">
      <c r="A297" t="s">
        <v>649</v>
      </c>
      <c r="B297" s="1">
        <v>46242</v>
      </c>
      <c r="C297" t="s">
        <v>49</v>
      </c>
      <c r="D297" t="s">
        <v>68</v>
      </c>
      <c r="E297" t="s">
        <v>650</v>
      </c>
      <c r="F297" t="s">
        <v>5</v>
      </c>
      <c r="G297" t="s">
        <v>32</v>
      </c>
      <c r="H297">
        <v>40</v>
      </c>
      <c r="I297">
        <v>8</v>
      </c>
      <c r="J297">
        <v>7</v>
      </c>
      <c r="K297" t="s">
        <v>130</v>
      </c>
    </row>
    <row r="298">
      <c r="A298" t="s">
        <v>651</v>
      </c>
      <c r="B298" s="1">
        <v>46242</v>
      </c>
      <c r="C298" t="s">
        <v>49</v>
      </c>
      <c r="D298" t="s">
        <v>72</v>
      </c>
      <c r="E298" t="s">
        <v>330</v>
      </c>
      <c r="F298" t="s">
        <v>7</v>
      </c>
      <c r="G298" t="s">
        <v>30</v>
      </c>
      <c r="H298">
        <v>216</v>
      </c>
      <c r="I298">
        <v>54</v>
      </c>
      <c r="J298">
        <v>16</v>
      </c>
      <c r="K298" t="s">
        <v>66</v>
      </c>
    </row>
    <row r="299">
      <c r="A299" t="s">
        <v>652</v>
      </c>
      <c r="B299" s="1">
        <v>46242</v>
      </c>
      <c r="C299" t="s">
        <v>49</v>
      </c>
      <c r="D299" t="s">
        <v>79</v>
      </c>
      <c r="E299" t="s">
        <v>278</v>
      </c>
      <c r="F299" t="s">
        <v>12</v>
      </c>
      <c r="G299" t="s">
        <v>32</v>
      </c>
      <c r="H299">
        <v>27</v>
      </c>
      <c r="I299">
        <v>7</v>
      </c>
      <c r="J299">
        <v>4</v>
      </c>
      <c r="K299" t="s">
        <v>87</v>
      </c>
    </row>
    <row r="300">
      <c r="A300" t="s">
        <v>653</v>
      </c>
      <c r="B300" s="1">
        <v>46243</v>
      </c>
      <c r="C300" t="s">
        <v>49</v>
      </c>
      <c r="D300" t="s">
        <v>68</v>
      </c>
      <c r="E300" t="s">
        <v>654</v>
      </c>
      <c r="F300" t="s">
        <v>6</v>
      </c>
      <c r="G300" t="s">
        <v>31</v>
      </c>
      <c r="H300">
        <v>58</v>
      </c>
      <c r="I300">
        <v>4</v>
      </c>
      <c r="J300">
        <v>3</v>
      </c>
      <c r="K300" t="s">
        <v>144</v>
      </c>
    </row>
    <row r="301">
      <c r="A301" t="s">
        <v>655</v>
      </c>
      <c r="B301" s="1">
        <v>46244</v>
      </c>
      <c r="C301" t="s">
        <v>49</v>
      </c>
      <c r="D301" t="s">
        <v>68</v>
      </c>
      <c r="E301" t="s">
        <v>656</v>
      </c>
      <c r="F301" t="s">
        <v>5</v>
      </c>
      <c r="G301" t="s">
        <v>30</v>
      </c>
      <c r="H301">
        <v>28</v>
      </c>
      <c r="I301">
        <v>6</v>
      </c>
      <c r="J301">
        <v>3</v>
      </c>
      <c r="K301" t="s">
        <v>130</v>
      </c>
    </row>
    <row r="302">
      <c r="A302" t="s">
        <v>657</v>
      </c>
      <c r="B302" s="1">
        <v>46245</v>
      </c>
      <c r="C302" t="s">
        <v>49</v>
      </c>
      <c r="D302" t="s">
        <v>68</v>
      </c>
      <c r="E302" t="s">
        <v>658</v>
      </c>
      <c r="F302" t="s">
        <v>9</v>
      </c>
      <c r="G302" t="s">
        <v>31</v>
      </c>
      <c r="H302">
        <v>458</v>
      </c>
      <c r="I302">
        <v>85</v>
      </c>
      <c r="J302">
        <v>39</v>
      </c>
      <c r="K302" t="s">
        <v>205</v>
      </c>
    </row>
    <row r="303">
      <c r="A303" t="s">
        <v>659</v>
      </c>
      <c r="B303" s="1">
        <v>46245</v>
      </c>
      <c r="C303" t="s">
        <v>49</v>
      </c>
      <c r="D303" t="s">
        <v>83</v>
      </c>
      <c r="E303" t="s">
        <v>660</v>
      </c>
      <c r="F303" t="s">
        <v>11</v>
      </c>
      <c r="G303" t="s">
        <v>32</v>
      </c>
      <c r="H303">
        <v>14</v>
      </c>
      <c r="I303">
        <v>1</v>
      </c>
      <c r="J303">
        <v>2</v>
      </c>
      <c r="K303" t="s">
        <v>127</v>
      </c>
    </row>
    <row r="304">
      <c r="A304" t="s">
        <v>661</v>
      </c>
      <c r="B304" s="1">
        <v>46245</v>
      </c>
      <c r="C304" t="s">
        <v>49</v>
      </c>
      <c r="D304" t="s">
        <v>104</v>
      </c>
      <c r="E304" t="s">
        <v>662</v>
      </c>
      <c r="F304" t="s">
        <v>13</v>
      </c>
      <c r="G304" t="s">
        <v>30</v>
      </c>
      <c r="H304">
        <v>36</v>
      </c>
      <c r="I304">
        <v>6</v>
      </c>
      <c r="J304">
        <v>2</v>
      </c>
      <c r="K304" t="s">
        <v>111</v>
      </c>
    </row>
    <row r="305">
      <c r="A305" t="s">
        <v>663</v>
      </c>
      <c r="B305" s="1">
        <v>46245</v>
      </c>
      <c r="C305" t="s">
        <v>49</v>
      </c>
      <c r="D305" t="s">
        <v>104</v>
      </c>
      <c r="E305" t="s">
        <v>101</v>
      </c>
      <c r="F305" t="s">
        <v>13</v>
      </c>
      <c r="G305" t="s">
        <v>30</v>
      </c>
      <c r="H305">
        <v>379</v>
      </c>
      <c r="I305">
        <v>80</v>
      </c>
      <c r="J305">
        <v>33</v>
      </c>
      <c r="K305" t="s">
        <v>111</v>
      </c>
    </row>
    <row r="306">
      <c r="A306" t="s">
        <v>664</v>
      </c>
      <c r="B306" s="1">
        <v>46246</v>
      </c>
      <c r="C306" t="s">
        <v>49</v>
      </c>
      <c r="D306" t="s">
        <v>64</v>
      </c>
      <c r="E306" t="s">
        <v>665</v>
      </c>
      <c r="F306" t="s">
        <v>8</v>
      </c>
      <c r="G306" t="s">
        <v>30</v>
      </c>
      <c r="H306">
        <v>131</v>
      </c>
      <c r="I306">
        <v>27</v>
      </c>
      <c r="J306">
        <v>22</v>
      </c>
      <c r="K306" t="s">
        <v>99</v>
      </c>
    </row>
    <row r="307">
      <c r="A307" t="s">
        <v>666</v>
      </c>
      <c r="B307" s="1">
        <v>46246</v>
      </c>
      <c r="C307" t="s">
        <v>49</v>
      </c>
      <c r="D307" t="s">
        <v>79</v>
      </c>
      <c r="E307" t="s">
        <v>184</v>
      </c>
      <c r="F307" t="s">
        <v>10</v>
      </c>
      <c r="G307" t="s">
        <v>30</v>
      </c>
      <c r="H307">
        <v>78</v>
      </c>
      <c r="I307">
        <v>16</v>
      </c>
      <c r="J307">
        <v>3</v>
      </c>
      <c r="K307" t="s">
        <v>70</v>
      </c>
    </row>
    <row r="308">
      <c r="A308" t="s">
        <v>667</v>
      </c>
      <c r="B308" s="1">
        <v>46246</v>
      </c>
      <c r="C308" t="s">
        <v>49</v>
      </c>
      <c r="D308" t="s">
        <v>79</v>
      </c>
      <c r="E308" t="s">
        <v>668</v>
      </c>
      <c r="F308" t="s">
        <v>12</v>
      </c>
      <c r="G308" t="s">
        <v>32</v>
      </c>
      <c r="H308">
        <v>22</v>
      </c>
      <c r="I308">
        <v>1</v>
      </c>
      <c r="J308">
        <v>1</v>
      </c>
      <c r="K308" t="s">
        <v>81</v>
      </c>
    </row>
    <row r="309">
      <c r="A309" t="s">
        <v>669</v>
      </c>
      <c r="B309" s="1">
        <v>46247</v>
      </c>
      <c r="C309" t="s">
        <v>49</v>
      </c>
      <c r="D309" t="s">
        <v>83</v>
      </c>
      <c r="E309" t="s">
        <v>670</v>
      </c>
      <c r="F309" t="s">
        <v>4</v>
      </c>
      <c r="G309" t="s">
        <v>32</v>
      </c>
      <c r="H309">
        <v>55</v>
      </c>
      <c r="I309">
        <v>8</v>
      </c>
      <c r="J309">
        <v>7</v>
      </c>
      <c r="K309" t="s">
        <v>90</v>
      </c>
    </row>
    <row r="310">
      <c r="A310" t="s">
        <v>671</v>
      </c>
      <c r="B310" s="1">
        <v>46247</v>
      </c>
      <c r="C310" t="s">
        <v>49</v>
      </c>
      <c r="D310" t="s">
        <v>79</v>
      </c>
      <c r="E310" t="s">
        <v>672</v>
      </c>
      <c r="F310" t="s">
        <v>6</v>
      </c>
      <c r="G310" t="s">
        <v>30</v>
      </c>
      <c r="H310">
        <v>75</v>
      </c>
      <c r="I310">
        <v>12</v>
      </c>
      <c r="J310">
        <v>10</v>
      </c>
      <c r="K310" t="s">
        <v>114</v>
      </c>
    </row>
    <row r="311">
      <c r="A311" t="s">
        <v>673</v>
      </c>
      <c r="B311" s="1">
        <v>46247</v>
      </c>
      <c r="C311" t="s">
        <v>49</v>
      </c>
      <c r="D311" t="s">
        <v>64</v>
      </c>
      <c r="E311" t="s">
        <v>434</v>
      </c>
      <c r="F311" t="s">
        <v>9</v>
      </c>
      <c r="G311" t="s">
        <v>31</v>
      </c>
      <c r="H311">
        <v>44</v>
      </c>
      <c r="I311">
        <v>7</v>
      </c>
      <c r="J311">
        <v>7</v>
      </c>
      <c r="K311" t="s">
        <v>205</v>
      </c>
    </row>
    <row r="312">
      <c r="A312" t="s">
        <v>674</v>
      </c>
      <c r="B312" s="1">
        <v>46247</v>
      </c>
      <c r="C312" t="s">
        <v>49</v>
      </c>
      <c r="D312" t="s">
        <v>104</v>
      </c>
      <c r="E312" t="s">
        <v>611</v>
      </c>
      <c r="F312" t="s">
        <v>13</v>
      </c>
      <c r="G312" t="s">
        <v>32</v>
      </c>
      <c r="H312">
        <v>107</v>
      </c>
      <c r="I312">
        <v>8</v>
      </c>
      <c r="J312">
        <v>4</v>
      </c>
      <c r="K312" t="s">
        <v>111</v>
      </c>
    </row>
    <row r="313">
      <c r="A313" t="s">
        <v>675</v>
      </c>
      <c r="B313" s="1">
        <v>46249</v>
      </c>
      <c r="C313" t="s">
        <v>49</v>
      </c>
      <c r="D313" t="s">
        <v>64</v>
      </c>
      <c r="E313" t="s">
        <v>676</v>
      </c>
      <c r="F313" t="s">
        <v>5</v>
      </c>
      <c r="G313" t="s">
        <v>32</v>
      </c>
      <c r="H313">
        <v>85</v>
      </c>
      <c r="I313">
        <v>20</v>
      </c>
      <c r="J313">
        <v>10</v>
      </c>
      <c r="K313" t="s">
        <v>180</v>
      </c>
    </row>
    <row r="314">
      <c r="A314" t="s">
        <v>677</v>
      </c>
      <c r="B314" s="1">
        <v>46249</v>
      </c>
      <c r="C314" t="s">
        <v>49</v>
      </c>
      <c r="D314" t="s">
        <v>72</v>
      </c>
      <c r="E314" t="s">
        <v>678</v>
      </c>
      <c r="F314" t="s">
        <v>8</v>
      </c>
      <c r="G314" t="s">
        <v>31</v>
      </c>
      <c r="H314">
        <v>64</v>
      </c>
      <c r="I314">
        <v>14</v>
      </c>
      <c r="J314">
        <v>2</v>
      </c>
      <c r="K314" t="s">
        <v>106</v>
      </c>
    </row>
    <row r="315">
      <c r="A315" t="s">
        <v>679</v>
      </c>
      <c r="B315" s="1">
        <v>46250</v>
      </c>
      <c r="C315" t="s">
        <v>49</v>
      </c>
      <c r="D315" t="s">
        <v>79</v>
      </c>
      <c r="E315" t="s">
        <v>662</v>
      </c>
      <c r="F315" t="s">
        <v>9</v>
      </c>
      <c r="G315" t="s">
        <v>32</v>
      </c>
      <c r="H315">
        <v>10</v>
      </c>
      <c r="I315">
        <v>1</v>
      </c>
      <c r="J315">
        <v>1</v>
      </c>
      <c r="K315" t="s">
        <v>205</v>
      </c>
    </row>
    <row r="316">
      <c r="A316" t="s">
        <v>680</v>
      </c>
      <c r="B316" s="1">
        <v>46250</v>
      </c>
      <c r="C316" t="s">
        <v>49</v>
      </c>
      <c r="D316" t="s">
        <v>79</v>
      </c>
      <c r="E316" t="s">
        <v>681</v>
      </c>
      <c r="F316" t="s">
        <v>10</v>
      </c>
      <c r="G316" t="s">
        <v>31</v>
      </c>
      <c r="H316">
        <v>23</v>
      </c>
      <c r="I316">
        <v>3</v>
      </c>
      <c r="J316">
        <v>2</v>
      </c>
      <c r="K316" t="s">
        <v>96</v>
      </c>
    </row>
    <row r="317">
      <c r="A317" t="s">
        <v>682</v>
      </c>
      <c r="B317" s="1">
        <v>46250</v>
      </c>
      <c r="C317" t="s">
        <v>49</v>
      </c>
      <c r="D317" t="s">
        <v>64</v>
      </c>
      <c r="E317" t="s">
        <v>683</v>
      </c>
      <c r="F317" t="s">
        <v>12</v>
      </c>
      <c r="G317" t="s">
        <v>30</v>
      </c>
      <c r="H317">
        <v>27</v>
      </c>
      <c r="I317">
        <v>5</v>
      </c>
      <c r="J317">
        <v>3</v>
      </c>
      <c r="K317" t="s">
        <v>87</v>
      </c>
    </row>
    <row r="318">
      <c r="A318" t="s">
        <v>684</v>
      </c>
      <c r="B318" s="1">
        <v>46251</v>
      </c>
      <c r="C318" t="s">
        <v>49</v>
      </c>
      <c r="D318" t="s">
        <v>83</v>
      </c>
      <c r="E318" t="s">
        <v>685</v>
      </c>
      <c r="F318" t="s">
        <v>4</v>
      </c>
      <c r="G318" t="s">
        <v>30</v>
      </c>
      <c r="H318">
        <v>67</v>
      </c>
      <c r="I318">
        <v>7</v>
      </c>
      <c r="J318">
        <v>12</v>
      </c>
      <c r="K318" t="s">
        <v>74</v>
      </c>
    </row>
    <row r="319">
      <c r="A319" t="s">
        <v>686</v>
      </c>
      <c r="B319" s="1">
        <v>46251</v>
      </c>
      <c r="C319" t="s">
        <v>49</v>
      </c>
      <c r="D319" t="s">
        <v>79</v>
      </c>
      <c r="E319" t="s">
        <v>654</v>
      </c>
      <c r="F319" t="s">
        <v>6</v>
      </c>
      <c r="G319" t="s">
        <v>31</v>
      </c>
      <c r="H319">
        <v>45</v>
      </c>
      <c r="I319">
        <v>9</v>
      </c>
      <c r="J319">
        <v>2</v>
      </c>
      <c r="K319" t="s">
        <v>114</v>
      </c>
    </row>
    <row r="320">
      <c r="A320" t="s">
        <v>687</v>
      </c>
      <c r="B320" s="1">
        <v>46251</v>
      </c>
      <c r="C320" t="s">
        <v>49</v>
      </c>
      <c r="D320" t="s">
        <v>68</v>
      </c>
      <c r="E320" t="s">
        <v>688</v>
      </c>
      <c r="F320" t="s">
        <v>11</v>
      </c>
      <c r="G320" t="s">
        <v>31</v>
      </c>
      <c r="H320">
        <v>26</v>
      </c>
      <c r="I320">
        <v>1</v>
      </c>
      <c r="J320">
        <v>0</v>
      </c>
      <c r="K320" t="s">
        <v>77</v>
      </c>
    </row>
    <row r="321">
      <c r="A321" t="s">
        <v>689</v>
      </c>
      <c r="B321" s="1">
        <v>46252</v>
      </c>
      <c r="C321" t="s">
        <v>49</v>
      </c>
      <c r="D321" t="s">
        <v>64</v>
      </c>
      <c r="E321" t="s">
        <v>690</v>
      </c>
      <c r="F321" t="s">
        <v>7</v>
      </c>
      <c r="G321" t="s">
        <v>32</v>
      </c>
      <c r="H321">
        <v>155</v>
      </c>
      <c r="I321">
        <v>31</v>
      </c>
      <c r="J321">
        <v>13</v>
      </c>
      <c r="K321" t="s">
        <v>66</v>
      </c>
    </row>
    <row r="322">
      <c r="A322" t="s">
        <v>691</v>
      </c>
      <c r="B322" s="1">
        <v>46253</v>
      </c>
      <c r="C322" t="s">
        <v>49</v>
      </c>
      <c r="D322" t="s">
        <v>64</v>
      </c>
      <c r="E322" t="s">
        <v>692</v>
      </c>
      <c r="F322" t="s">
        <v>5</v>
      </c>
      <c r="G322" t="s">
        <v>31</v>
      </c>
      <c r="H322">
        <v>9</v>
      </c>
      <c r="I322">
        <v>2</v>
      </c>
      <c r="J322">
        <v>1</v>
      </c>
      <c r="K322" t="s">
        <v>130</v>
      </c>
    </row>
    <row r="323">
      <c r="A323" t="s">
        <v>693</v>
      </c>
      <c r="B323" s="1">
        <v>46253</v>
      </c>
      <c r="C323" t="s">
        <v>49</v>
      </c>
      <c r="D323" t="s">
        <v>83</v>
      </c>
      <c r="E323" t="s">
        <v>694</v>
      </c>
      <c r="F323" t="s">
        <v>11</v>
      </c>
      <c r="G323" t="s">
        <v>30</v>
      </c>
      <c r="H323">
        <v>126</v>
      </c>
      <c r="I323">
        <v>12</v>
      </c>
      <c r="J323">
        <v>16</v>
      </c>
      <c r="K323" t="s">
        <v>77</v>
      </c>
    </row>
    <row r="324">
      <c r="A324" t="s">
        <v>695</v>
      </c>
      <c r="B324" s="1">
        <v>46254</v>
      </c>
      <c r="C324" t="s">
        <v>49</v>
      </c>
      <c r="D324" t="s">
        <v>83</v>
      </c>
      <c r="E324" t="s">
        <v>696</v>
      </c>
      <c r="F324" t="s">
        <v>4</v>
      </c>
      <c r="G324" t="s">
        <v>30</v>
      </c>
      <c r="H324">
        <v>36</v>
      </c>
      <c r="I324">
        <v>8</v>
      </c>
      <c r="J324">
        <v>1</v>
      </c>
      <c r="K324" t="s">
        <v>74</v>
      </c>
    </row>
    <row r="325">
      <c r="A325" t="s">
        <v>697</v>
      </c>
      <c r="B325" s="1">
        <v>46255</v>
      </c>
      <c r="C325" t="s">
        <v>49</v>
      </c>
      <c r="D325" t="s">
        <v>72</v>
      </c>
      <c r="E325" t="s">
        <v>698</v>
      </c>
      <c r="F325" t="s">
        <v>7</v>
      </c>
      <c r="G325" t="s">
        <v>32</v>
      </c>
      <c r="H325">
        <v>31</v>
      </c>
      <c r="I325">
        <v>6</v>
      </c>
      <c r="J325">
        <v>5</v>
      </c>
      <c r="K325" t="s">
        <v>117</v>
      </c>
    </row>
    <row r="326">
      <c r="A326" t="s">
        <v>699</v>
      </c>
      <c r="B326" s="1">
        <v>46255</v>
      </c>
      <c r="C326" t="s">
        <v>49</v>
      </c>
      <c r="D326" t="s">
        <v>64</v>
      </c>
      <c r="E326" t="s">
        <v>700</v>
      </c>
      <c r="F326" t="s">
        <v>12</v>
      </c>
      <c r="G326" t="s">
        <v>31</v>
      </c>
      <c r="H326">
        <v>63</v>
      </c>
      <c r="I326">
        <v>6</v>
      </c>
      <c r="J326">
        <v>10</v>
      </c>
      <c r="K326" t="s">
        <v>220</v>
      </c>
    </row>
    <row r="327">
      <c r="A327" t="s">
        <v>701</v>
      </c>
      <c r="B327" s="1">
        <v>46256</v>
      </c>
      <c r="C327" t="s">
        <v>49</v>
      </c>
      <c r="D327" t="s">
        <v>104</v>
      </c>
      <c r="E327" t="s">
        <v>702</v>
      </c>
      <c r="F327" t="s">
        <v>4</v>
      </c>
      <c r="G327" t="s">
        <v>30</v>
      </c>
      <c r="H327">
        <v>145</v>
      </c>
      <c r="I327">
        <v>21</v>
      </c>
      <c r="J327">
        <v>18</v>
      </c>
      <c r="K327" t="s">
        <v>171</v>
      </c>
    </row>
    <row r="328">
      <c r="A328" t="s">
        <v>703</v>
      </c>
      <c r="B328" s="1">
        <v>46256</v>
      </c>
      <c r="C328" t="s">
        <v>49</v>
      </c>
      <c r="D328" t="s">
        <v>104</v>
      </c>
      <c r="E328" t="s">
        <v>704</v>
      </c>
      <c r="F328" t="s">
        <v>4</v>
      </c>
      <c r="G328" t="s">
        <v>30</v>
      </c>
      <c r="H328">
        <v>149</v>
      </c>
      <c r="I328">
        <v>32</v>
      </c>
      <c r="J328">
        <v>12</v>
      </c>
      <c r="K328" t="s">
        <v>90</v>
      </c>
    </row>
    <row r="329">
      <c r="A329" t="s">
        <v>705</v>
      </c>
      <c r="B329" s="1">
        <v>46257</v>
      </c>
      <c r="C329" t="s">
        <v>49</v>
      </c>
      <c r="D329" t="s">
        <v>83</v>
      </c>
      <c r="E329" t="s">
        <v>639</v>
      </c>
      <c r="F329" t="s">
        <v>10</v>
      </c>
      <c r="G329" t="s">
        <v>31</v>
      </c>
      <c r="H329">
        <v>137</v>
      </c>
      <c r="I329">
        <v>13</v>
      </c>
      <c r="J329">
        <v>22</v>
      </c>
      <c r="K329" t="s">
        <v>70</v>
      </c>
    </row>
    <row r="330">
      <c r="A330" t="s">
        <v>706</v>
      </c>
      <c r="B330" s="1">
        <v>46258</v>
      </c>
      <c r="C330" t="s">
        <v>49</v>
      </c>
      <c r="D330" t="s">
        <v>64</v>
      </c>
      <c r="E330" t="s">
        <v>707</v>
      </c>
      <c r="F330" t="s">
        <v>4</v>
      </c>
      <c r="G330" t="s">
        <v>31</v>
      </c>
      <c r="H330">
        <v>51</v>
      </c>
      <c r="I330">
        <v>3</v>
      </c>
      <c r="J330">
        <v>3</v>
      </c>
      <c r="K330" t="s">
        <v>90</v>
      </c>
    </row>
    <row r="331">
      <c r="A331" t="s">
        <v>708</v>
      </c>
      <c r="B331" s="1">
        <v>46258</v>
      </c>
      <c r="C331" t="s">
        <v>49</v>
      </c>
      <c r="D331" t="s">
        <v>68</v>
      </c>
      <c r="E331" t="s">
        <v>709</v>
      </c>
      <c r="F331" t="s">
        <v>11</v>
      </c>
      <c r="G331" t="s">
        <v>30</v>
      </c>
      <c r="H331">
        <v>42</v>
      </c>
      <c r="I331">
        <v>3</v>
      </c>
      <c r="J331">
        <v>3</v>
      </c>
      <c r="K331" t="s">
        <v>248</v>
      </c>
    </row>
    <row r="332">
      <c r="A332" t="s">
        <v>710</v>
      </c>
      <c r="B332" s="1">
        <v>46259</v>
      </c>
      <c r="C332" t="s">
        <v>49</v>
      </c>
      <c r="D332" t="s">
        <v>83</v>
      </c>
      <c r="E332" t="s">
        <v>192</v>
      </c>
      <c r="F332" t="s">
        <v>4</v>
      </c>
      <c r="G332" t="s">
        <v>30</v>
      </c>
      <c r="H332">
        <v>57</v>
      </c>
      <c r="I332">
        <v>16</v>
      </c>
      <c r="J332">
        <v>3</v>
      </c>
      <c r="K332" t="s">
        <v>171</v>
      </c>
    </row>
    <row r="333">
      <c r="A333" t="s">
        <v>711</v>
      </c>
      <c r="B333" s="1">
        <v>46259</v>
      </c>
      <c r="C333" t="s">
        <v>49</v>
      </c>
      <c r="D333" t="s">
        <v>79</v>
      </c>
      <c r="E333" t="s">
        <v>712</v>
      </c>
      <c r="F333" t="s">
        <v>7</v>
      </c>
      <c r="G333" t="s">
        <v>32</v>
      </c>
      <c r="H333">
        <v>142</v>
      </c>
      <c r="I333">
        <v>25</v>
      </c>
      <c r="J333">
        <v>13</v>
      </c>
      <c r="K333" t="s">
        <v>66</v>
      </c>
    </row>
    <row r="334">
      <c r="A334" t="s">
        <v>713</v>
      </c>
      <c r="B334" s="1">
        <v>46261</v>
      </c>
      <c r="C334" t="s">
        <v>49</v>
      </c>
      <c r="D334" t="s">
        <v>68</v>
      </c>
      <c r="E334" t="s">
        <v>714</v>
      </c>
      <c r="F334" t="s">
        <v>4</v>
      </c>
      <c r="G334" t="s">
        <v>32</v>
      </c>
      <c r="H334">
        <v>40</v>
      </c>
      <c r="I334">
        <v>7</v>
      </c>
      <c r="J334">
        <v>7</v>
      </c>
      <c r="K334" t="s">
        <v>90</v>
      </c>
    </row>
    <row r="335">
      <c r="A335" t="s">
        <v>715</v>
      </c>
      <c r="B335" s="1">
        <v>46262</v>
      </c>
      <c r="C335" t="s">
        <v>49</v>
      </c>
      <c r="D335" t="s">
        <v>72</v>
      </c>
      <c r="E335" t="s">
        <v>716</v>
      </c>
      <c r="F335" t="s">
        <v>5</v>
      </c>
      <c r="G335" t="s">
        <v>30</v>
      </c>
      <c r="H335">
        <v>222</v>
      </c>
      <c r="I335">
        <v>16</v>
      </c>
      <c r="J335">
        <v>22</v>
      </c>
      <c r="K335" t="s">
        <v>130</v>
      </c>
    </row>
    <row r="336">
      <c r="A336" t="s">
        <v>717</v>
      </c>
      <c r="B336" s="1">
        <v>46262</v>
      </c>
      <c r="C336" t="s">
        <v>49</v>
      </c>
      <c r="D336" t="s">
        <v>83</v>
      </c>
      <c r="E336" t="s">
        <v>718</v>
      </c>
      <c r="F336" t="s">
        <v>8</v>
      </c>
      <c r="G336" t="s">
        <v>30</v>
      </c>
      <c r="H336">
        <v>253</v>
      </c>
      <c r="I336">
        <v>39</v>
      </c>
      <c r="J336">
        <v>45</v>
      </c>
      <c r="K336" t="s">
        <v>270</v>
      </c>
    </row>
    <row r="337">
      <c r="A337" t="s">
        <v>719</v>
      </c>
      <c r="B337" s="1">
        <v>46262</v>
      </c>
      <c r="C337" t="s">
        <v>49</v>
      </c>
      <c r="D337" t="s">
        <v>104</v>
      </c>
      <c r="E337" t="s">
        <v>599</v>
      </c>
      <c r="F337" t="s">
        <v>12</v>
      </c>
      <c r="G337" t="s">
        <v>31</v>
      </c>
      <c r="H337">
        <v>75</v>
      </c>
      <c r="I337">
        <v>10</v>
      </c>
      <c r="J337">
        <v>10</v>
      </c>
      <c r="K337" t="s">
        <v>81</v>
      </c>
    </row>
    <row r="338">
      <c r="A338" t="s">
        <v>720</v>
      </c>
      <c r="B338" s="1">
        <v>46262</v>
      </c>
      <c r="C338" t="s">
        <v>49</v>
      </c>
      <c r="D338" t="s">
        <v>72</v>
      </c>
      <c r="E338" t="s">
        <v>721</v>
      </c>
      <c r="F338" t="s">
        <v>12</v>
      </c>
      <c r="G338" t="s">
        <v>32</v>
      </c>
      <c r="H338">
        <v>126</v>
      </c>
      <c r="I338">
        <v>28</v>
      </c>
      <c r="J338">
        <v>5</v>
      </c>
      <c r="K338" t="s">
        <v>87</v>
      </c>
    </row>
    <row r="339">
      <c r="A339" t="s">
        <v>722</v>
      </c>
      <c r="B339" s="1">
        <v>46267</v>
      </c>
      <c r="C339" t="s">
        <v>50</v>
      </c>
      <c r="D339" t="s">
        <v>104</v>
      </c>
      <c r="E339" t="s">
        <v>235</v>
      </c>
      <c r="F339" t="s">
        <v>5</v>
      </c>
      <c r="G339" t="s">
        <v>31</v>
      </c>
      <c r="H339">
        <v>47</v>
      </c>
      <c r="I339">
        <v>12</v>
      </c>
      <c r="J339">
        <v>5</v>
      </c>
      <c r="K339" t="s">
        <v>180</v>
      </c>
    </row>
    <row r="340">
      <c r="A340" t="s">
        <v>723</v>
      </c>
      <c r="B340" s="1">
        <v>46269</v>
      </c>
      <c r="C340" t="s">
        <v>50</v>
      </c>
      <c r="D340" t="s">
        <v>72</v>
      </c>
      <c r="E340" t="s">
        <v>724</v>
      </c>
      <c r="F340" t="s">
        <v>5</v>
      </c>
      <c r="G340" t="s">
        <v>31</v>
      </c>
      <c r="H340">
        <v>68</v>
      </c>
      <c r="I340">
        <v>10</v>
      </c>
      <c r="J340">
        <v>12</v>
      </c>
      <c r="K340" t="s">
        <v>93</v>
      </c>
    </row>
    <row r="341">
      <c r="A341" t="s">
        <v>725</v>
      </c>
      <c r="B341" s="1">
        <v>46270</v>
      </c>
      <c r="C341" t="s">
        <v>50</v>
      </c>
      <c r="D341" t="s">
        <v>64</v>
      </c>
      <c r="E341" t="s">
        <v>564</v>
      </c>
      <c r="F341" t="s">
        <v>4</v>
      </c>
      <c r="G341" t="s">
        <v>31</v>
      </c>
      <c r="H341">
        <v>66</v>
      </c>
      <c r="I341">
        <v>19</v>
      </c>
      <c r="J341">
        <v>9</v>
      </c>
      <c r="K341" t="s">
        <v>90</v>
      </c>
    </row>
    <row r="342">
      <c r="A342" t="s">
        <v>726</v>
      </c>
      <c r="B342" s="1">
        <v>46271</v>
      </c>
      <c r="C342" t="s">
        <v>50</v>
      </c>
      <c r="D342" t="s">
        <v>72</v>
      </c>
      <c r="E342" t="s">
        <v>219</v>
      </c>
      <c r="F342" t="s">
        <v>7</v>
      </c>
      <c r="G342" t="s">
        <v>32</v>
      </c>
      <c r="H342">
        <v>74</v>
      </c>
      <c r="I342">
        <v>13</v>
      </c>
      <c r="J342">
        <v>6</v>
      </c>
      <c r="K342" t="s">
        <v>147</v>
      </c>
    </row>
    <row r="343">
      <c r="A343" t="s">
        <v>727</v>
      </c>
      <c r="B343" s="1">
        <v>46271</v>
      </c>
      <c r="C343" t="s">
        <v>50</v>
      </c>
      <c r="D343" t="s">
        <v>64</v>
      </c>
      <c r="E343" t="s">
        <v>728</v>
      </c>
      <c r="F343" t="s">
        <v>8</v>
      </c>
      <c r="G343" t="s">
        <v>30</v>
      </c>
      <c r="H343">
        <v>33</v>
      </c>
      <c r="I343">
        <v>3</v>
      </c>
      <c r="J343">
        <v>5</v>
      </c>
      <c r="K343" t="s">
        <v>270</v>
      </c>
    </row>
    <row r="344">
      <c r="A344" t="s">
        <v>729</v>
      </c>
      <c r="B344" s="1">
        <v>46272</v>
      </c>
      <c r="C344" t="s">
        <v>50</v>
      </c>
      <c r="D344" t="s">
        <v>72</v>
      </c>
      <c r="E344" t="s">
        <v>730</v>
      </c>
      <c r="F344" t="s">
        <v>7</v>
      </c>
      <c r="G344" t="s">
        <v>31</v>
      </c>
      <c r="H344">
        <v>554</v>
      </c>
      <c r="I344">
        <v>155</v>
      </c>
      <c r="J344">
        <v>31</v>
      </c>
      <c r="K344" t="s">
        <v>66</v>
      </c>
    </row>
    <row r="345">
      <c r="A345" t="s">
        <v>731</v>
      </c>
      <c r="B345" s="1">
        <v>46272</v>
      </c>
      <c r="C345" t="s">
        <v>50</v>
      </c>
      <c r="D345" t="s">
        <v>79</v>
      </c>
      <c r="E345" t="s">
        <v>732</v>
      </c>
      <c r="F345" t="s">
        <v>8</v>
      </c>
      <c r="G345" t="s">
        <v>30</v>
      </c>
      <c r="H345">
        <v>371</v>
      </c>
      <c r="I345">
        <v>38</v>
      </c>
      <c r="J345">
        <v>14</v>
      </c>
      <c r="K345" t="s">
        <v>106</v>
      </c>
    </row>
    <row r="346">
      <c r="A346" t="s">
        <v>733</v>
      </c>
      <c r="B346" s="1">
        <v>46273</v>
      </c>
      <c r="C346" t="s">
        <v>50</v>
      </c>
      <c r="D346" t="s">
        <v>64</v>
      </c>
      <c r="E346" t="s">
        <v>734</v>
      </c>
      <c r="F346" t="s">
        <v>11</v>
      </c>
      <c r="G346" t="s">
        <v>32</v>
      </c>
      <c r="H346">
        <v>30</v>
      </c>
      <c r="I346">
        <v>1</v>
      </c>
      <c r="J346">
        <v>0</v>
      </c>
      <c r="K346" t="s">
        <v>77</v>
      </c>
    </row>
    <row r="347">
      <c r="A347" t="s">
        <v>735</v>
      </c>
      <c r="B347" s="1">
        <v>46274</v>
      </c>
      <c r="C347" t="s">
        <v>50</v>
      </c>
      <c r="D347" t="s">
        <v>64</v>
      </c>
      <c r="E347" t="s">
        <v>736</v>
      </c>
      <c r="F347" t="s">
        <v>12</v>
      </c>
      <c r="G347" t="s">
        <v>31</v>
      </c>
      <c r="H347">
        <v>45</v>
      </c>
      <c r="I347">
        <v>10</v>
      </c>
      <c r="J347">
        <v>1</v>
      </c>
      <c r="K347" t="s">
        <v>81</v>
      </c>
    </row>
    <row r="348">
      <c r="A348" t="s">
        <v>737</v>
      </c>
      <c r="B348" s="1">
        <v>46274</v>
      </c>
      <c r="C348" t="s">
        <v>50</v>
      </c>
      <c r="D348" t="s">
        <v>68</v>
      </c>
      <c r="E348" t="s">
        <v>738</v>
      </c>
      <c r="F348" t="s">
        <v>12</v>
      </c>
      <c r="G348" t="s">
        <v>31</v>
      </c>
      <c r="H348">
        <v>16</v>
      </c>
      <c r="I348">
        <v>2</v>
      </c>
      <c r="J348">
        <v>0</v>
      </c>
      <c r="K348" t="s">
        <v>81</v>
      </c>
    </row>
    <row r="349">
      <c r="A349" t="s">
        <v>739</v>
      </c>
      <c r="B349" s="1">
        <v>46274</v>
      </c>
      <c r="C349" t="s">
        <v>50</v>
      </c>
      <c r="D349" t="s">
        <v>83</v>
      </c>
      <c r="E349" t="s">
        <v>740</v>
      </c>
      <c r="F349" t="s">
        <v>13</v>
      </c>
      <c r="G349" t="s">
        <v>31</v>
      </c>
      <c r="H349">
        <v>24</v>
      </c>
      <c r="I349">
        <v>3</v>
      </c>
      <c r="J349">
        <v>3</v>
      </c>
      <c r="K349" t="s">
        <v>328</v>
      </c>
    </row>
    <row r="350">
      <c r="A350" t="s">
        <v>741</v>
      </c>
      <c r="B350" s="1">
        <v>46275</v>
      </c>
      <c r="C350" t="s">
        <v>50</v>
      </c>
      <c r="D350" t="s">
        <v>72</v>
      </c>
      <c r="E350" t="s">
        <v>742</v>
      </c>
      <c r="F350" t="s">
        <v>5</v>
      </c>
      <c r="G350" t="s">
        <v>30</v>
      </c>
      <c r="H350">
        <v>368</v>
      </c>
      <c r="I350">
        <v>64</v>
      </c>
      <c r="J350">
        <v>71</v>
      </c>
      <c r="K350" t="s">
        <v>180</v>
      </c>
    </row>
    <row r="351">
      <c r="A351" t="s">
        <v>743</v>
      </c>
      <c r="B351" s="1">
        <v>46276</v>
      </c>
      <c r="C351" t="s">
        <v>50</v>
      </c>
      <c r="D351" t="s">
        <v>79</v>
      </c>
      <c r="E351" t="s">
        <v>744</v>
      </c>
      <c r="F351" t="s">
        <v>4</v>
      </c>
      <c r="G351" t="s">
        <v>30</v>
      </c>
      <c r="H351">
        <v>18</v>
      </c>
      <c r="I351">
        <v>2</v>
      </c>
      <c r="J351">
        <v>3</v>
      </c>
      <c r="K351" t="s">
        <v>171</v>
      </c>
    </row>
    <row r="352">
      <c r="A352" t="s">
        <v>745</v>
      </c>
      <c r="B352" s="1">
        <v>46276</v>
      </c>
      <c r="C352" t="s">
        <v>50</v>
      </c>
      <c r="D352" t="s">
        <v>72</v>
      </c>
      <c r="E352" t="s">
        <v>746</v>
      </c>
      <c r="F352" t="s">
        <v>4</v>
      </c>
      <c r="G352" t="s">
        <v>32</v>
      </c>
      <c r="H352">
        <v>229</v>
      </c>
      <c r="I352">
        <v>13</v>
      </c>
      <c r="J352">
        <v>15</v>
      </c>
      <c r="K352" t="s">
        <v>90</v>
      </c>
    </row>
    <row r="353">
      <c r="A353" t="s">
        <v>747</v>
      </c>
      <c r="B353" s="1">
        <v>46278</v>
      </c>
      <c r="C353" t="s">
        <v>50</v>
      </c>
      <c r="D353" t="s">
        <v>64</v>
      </c>
      <c r="E353" t="s">
        <v>748</v>
      </c>
      <c r="F353" t="s">
        <v>9</v>
      </c>
      <c r="G353" t="s">
        <v>31</v>
      </c>
      <c r="H353">
        <v>148</v>
      </c>
      <c r="I353">
        <v>28</v>
      </c>
      <c r="J353">
        <v>22</v>
      </c>
      <c r="K353" t="s">
        <v>122</v>
      </c>
    </row>
    <row r="354">
      <c r="A354" t="s">
        <v>749</v>
      </c>
      <c r="B354" s="1">
        <v>46278</v>
      </c>
      <c r="C354" t="s">
        <v>50</v>
      </c>
      <c r="D354" t="s">
        <v>83</v>
      </c>
      <c r="E354" t="s">
        <v>65</v>
      </c>
      <c r="F354" t="s">
        <v>11</v>
      </c>
      <c r="G354" t="s">
        <v>32</v>
      </c>
      <c r="H354">
        <v>68</v>
      </c>
      <c r="I354">
        <v>12</v>
      </c>
      <c r="J354">
        <v>5</v>
      </c>
      <c r="K354" t="s">
        <v>127</v>
      </c>
    </row>
    <row r="355">
      <c r="A355" t="s">
        <v>750</v>
      </c>
      <c r="B355" s="1">
        <v>46279</v>
      </c>
      <c r="C355" t="s">
        <v>50</v>
      </c>
      <c r="D355" t="s">
        <v>83</v>
      </c>
      <c r="E355" t="s">
        <v>243</v>
      </c>
      <c r="F355" t="s">
        <v>5</v>
      </c>
      <c r="G355" t="s">
        <v>30</v>
      </c>
      <c r="H355">
        <v>43</v>
      </c>
      <c r="I355">
        <v>3</v>
      </c>
      <c r="J355">
        <v>3</v>
      </c>
      <c r="K355" t="s">
        <v>180</v>
      </c>
    </row>
    <row r="356">
      <c r="A356" t="s">
        <v>751</v>
      </c>
      <c r="B356" s="1">
        <v>46279</v>
      </c>
      <c r="C356" t="s">
        <v>50</v>
      </c>
      <c r="D356" t="s">
        <v>72</v>
      </c>
      <c r="E356" t="s">
        <v>752</v>
      </c>
      <c r="F356" t="s">
        <v>10</v>
      </c>
      <c r="G356" t="s">
        <v>31</v>
      </c>
      <c r="H356">
        <v>77</v>
      </c>
      <c r="I356">
        <v>14</v>
      </c>
      <c r="J356">
        <v>3</v>
      </c>
      <c r="K356" t="s">
        <v>96</v>
      </c>
    </row>
    <row r="357">
      <c r="A357" t="s">
        <v>753</v>
      </c>
      <c r="B357" s="1">
        <v>46280</v>
      </c>
      <c r="C357" t="s">
        <v>50</v>
      </c>
      <c r="D357" t="s">
        <v>64</v>
      </c>
      <c r="E357" t="s">
        <v>754</v>
      </c>
      <c r="F357" t="s">
        <v>6</v>
      </c>
      <c r="G357" t="s">
        <v>30</v>
      </c>
      <c r="H357">
        <v>104</v>
      </c>
      <c r="I357">
        <v>22</v>
      </c>
      <c r="J357">
        <v>14</v>
      </c>
      <c r="K357" t="s">
        <v>144</v>
      </c>
    </row>
    <row r="358">
      <c r="A358" t="s">
        <v>755</v>
      </c>
      <c r="B358" s="1">
        <v>46281</v>
      </c>
      <c r="C358" t="s">
        <v>50</v>
      </c>
      <c r="D358" t="s">
        <v>72</v>
      </c>
      <c r="E358" t="s">
        <v>756</v>
      </c>
      <c r="F358" t="s">
        <v>11</v>
      </c>
      <c r="G358" t="s">
        <v>31</v>
      </c>
      <c r="H358">
        <v>45</v>
      </c>
      <c r="I358">
        <v>12</v>
      </c>
      <c r="J358">
        <v>8</v>
      </c>
      <c r="K358" t="s">
        <v>77</v>
      </c>
    </row>
    <row r="359">
      <c r="A359" t="s">
        <v>757</v>
      </c>
      <c r="B359" s="1">
        <v>46282</v>
      </c>
      <c r="C359" t="s">
        <v>50</v>
      </c>
      <c r="D359" t="s">
        <v>83</v>
      </c>
      <c r="E359" t="s">
        <v>758</v>
      </c>
      <c r="F359" t="s">
        <v>6</v>
      </c>
      <c r="G359" t="s">
        <v>30</v>
      </c>
      <c r="H359">
        <v>20</v>
      </c>
      <c r="I359">
        <v>3</v>
      </c>
      <c r="J359">
        <v>1</v>
      </c>
      <c r="K359" t="s">
        <v>114</v>
      </c>
    </row>
    <row r="360">
      <c r="A360" t="s">
        <v>759</v>
      </c>
      <c r="B360" s="1">
        <v>46283</v>
      </c>
      <c r="C360" t="s">
        <v>50</v>
      </c>
      <c r="D360" t="s">
        <v>68</v>
      </c>
      <c r="E360" t="s">
        <v>760</v>
      </c>
      <c r="F360" t="s">
        <v>12</v>
      </c>
      <c r="G360" t="s">
        <v>30</v>
      </c>
      <c r="H360">
        <v>17</v>
      </c>
      <c r="I360">
        <v>2</v>
      </c>
      <c r="J360">
        <v>2</v>
      </c>
      <c r="K360" t="s">
        <v>87</v>
      </c>
    </row>
    <row r="361">
      <c r="A361" t="s">
        <v>761</v>
      </c>
      <c r="B361" s="1">
        <v>46284</v>
      </c>
      <c r="C361" t="s">
        <v>50</v>
      </c>
      <c r="D361" t="s">
        <v>79</v>
      </c>
      <c r="E361" t="s">
        <v>762</v>
      </c>
      <c r="F361" t="s">
        <v>4</v>
      </c>
      <c r="G361" t="s">
        <v>30</v>
      </c>
      <c r="H361">
        <v>27</v>
      </c>
      <c r="I361">
        <v>2</v>
      </c>
      <c r="J361">
        <v>5</v>
      </c>
      <c r="K361" t="s">
        <v>74</v>
      </c>
    </row>
    <row r="362">
      <c r="A362" t="s">
        <v>763</v>
      </c>
      <c r="B362" s="1">
        <v>46284</v>
      </c>
      <c r="C362" t="s">
        <v>50</v>
      </c>
      <c r="D362" t="s">
        <v>104</v>
      </c>
      <c r="E362" t="s">
        <v>764</v>
      </c>
      <c r="F362" t="s">
        <v>4</v>
      </c>
      <c r="G362" t="s">
        <v>30</v>
      </c>
      <c r="H362">
        <v>62</v>
      </c>
      <c r="I362">
        <v>12</v>
      </c>
      <c r="J362">
        <v>4</v>
      </c>
      <c r="K362" t="s">
        <v>90</v>
      </c>
    </row>
    <row r="363">
      <c r="A363" t="s">
        <v>765</v>
      </c>
      <c r="B363" s="1">
        <v>46284</v>
      </c>
      <c r="C363" t="s">
        <v>50</v>
      </c>
      <c r="D363" t="s">
        <v>72</v>
      </c>
      <c r="E363" t="s">
        <v>766</v>
      </c>
      <c r="F363" t="s">
        <v>9</v>
      </c>
      <c r="G363" t="s">
        <v>32</v>
      </c>
      <c r="H363">
        <v>67</v>
      </c>
      <c r="I363">
        <v>5</v>
      </c>
      <c r="J363">
        <v>4</v>
      </c>
      <c r="K363" t="s">
        <v>122</v>
      </c>
    </row>
    <row r="364">
      <c r="A364" t="s">
        <v>767</v>
      </c>
      <c r="B364" s="1">
        <v>46284</v>
      </c>
      <c r="C364" t="s">
        <v>50</v>
      </c>
      <c r="D364" t="s">
        <v>79</v>
      </c>
      <c r="E364" t="s">
        <v>768</v>
      </c>
      <c r="F364" t="s">
        <v>9</v>
      </c>
      <c r="G364" t="s">
        <v>30</v>
      </c>
      <c r="H364">
        <v>14</v>
      </c>
      <c r="I364">
        <v>4</v>
      </c>
      <c r="J364">
        <v>0</v>
      </c>
      <c r="K364" t="s">
        <v>205</v>
      </c>
    </row>
    <row r="365">
      <c r="A365" t="s">
        <v>769</v>
      </c>
      <c r="B365" s="1">
        <v>46285</v>
      </c>
      <c r="C365" t="s">
        <v>50</v>
      </c>
      <c r="D365" t="s">
        <v>64</v>
      </c>
      <c r="E365" t="s">
        <v>770</v>
      </c>
      <c r="F365" t="s">
        <v>4</v>
      </c>
      <c r="G365" t="s">
        <v>30</v>
      </c>
      <c r="H365">
        <v>29</v>
      </c>
      <c r="I365">
        <v>2</v>
      </c>
      <c r="J365">
        <v>3</v>
      </c>
      <c r="K365" t="s">
        <v>90</v>
      </c>
    </row>
    <row r="366">
      <c r="A366" t="s">
        <v>771</v>
      </c>
      <c r="B366" s="1">
        <v>46285</v>
      </c>
      <c r="C366" t="s">
        <v>50</v>
      </c>
      <c r="D366" t="s">
        <v>83</v>
      </c>
      <c r="E366" t="s">
        <v>184</v>
      </c>
      <c r="F366" t="s">
        <v>13</v>
      </c>
      <c r="G366" t="s">
        <v>32</v>
      </c>
      <c r="H366">
        <v>34</v>
      </c>
      <c r="I366">
        <v>6</v>
      </c>
      <c r="J366">
        <v>3</v>
      </c>
      <c r="K366" t="s">
        <v>328</v>
      </c>
    </row>
    <row r="367">
      <c r="A367" t="s">
        <v>772</v>
      </c>
      <c r="B367" s="1">
        <v>46286</v>
      </c>
      <c r="C367" t="s">
        <v>50</v>
      </c>
      <c r="D367" t="s">
        <v>79</v>
      </c>
      <c r="E367" t="s">
        <v>322</v>
      </c>
      <c r="F367" t="s">
        <v>4</v>
      </c>
      <c r="G367" t="s">
        <v>30</v>
      </c>
      <c r="H367">
        <v>38</v>
      </c>
      <c r="I367">
        <v>7</v>
      </c>
      <c r="J367">
        <v>1</v>
      </c>
      <c r="K367" t="s">
        <v>74</v>
      </c>
    </row>
    <row r="368">
      <c r="A368" t="s">
        <v>773</v>
      </c>
      <c r="B368" s="1">
        <v>46286</v>
      </c>
      <c r="C368" t="s">
        <v>50</v>
      </c>
      <c r="D368" t="s">
        <v>104</v>
      </c>
      <c r="E368" t="s">
        <v>552</v>
      </c>
      <c r="F368" t="s">
        <v>12</v>
      </c>
      <c r="G368" t="s">
        <v>30</v>
      </c>
      <c r="H368">
        <v>9</v>
      </c>
      <c r="I368">
        <v>1</v>
      </c>
      <c r="J368">
        <v>0</v>
      </c>
      <c r="K368" t="s">
        <v>81</v>
      </c>
    </row>
    <row r="369">
      <c r="A369" t="s">
        <v>774</v>
      </c>
      <c r="B369" s="1">
        <v>46287</v>
      </c>
      <c r="C369" t="s">
        <v>50</v>
      </c>
      <c r="D369" t="s">
        <v>79</v>
      </c>
      <c r="E369" t="s">
        <v>775</v>
      </c>
      <c r="F369" t="s">
        <v>4</v>
      </c>
      <c r="G369" t="s">
        <v>31</v>
      </c>
      <c r="H369">
        <v>97</v>
      </c>
      <c r="I369">
        <v>15</v>
      </c>
      <c r="J369">
        <v>7</v>
      </c>
      <c r="K369" t="s">
        <v>171</v>
      </c>
    </row>
    <row r="370">
      <c r="A370" t="s">
        <v>776</v>
      </c>
      <c r="B370" s="1">
        <v>46287</v>
      </c>
      <c r="C370" t="s">
        <v>50</v>
      </c>
      <c r="D370" t="s">
        <v>79</v>
      </c>
      <c r="E370" t="s">
        <v>777</v>
      </c>
      <c r="F370" t="s">
        <v>7</v>
      </c>
      <c r="G370" t="s">
        <v>30</v>
      </c>
      <c r="H370">
        <v>132</v>
      </c>
      <c r="I370">
        <v>26</v>
      </c>
      <c r="J370">
        <v>17</v>
      </c>
      <c r="K370" t="s">
        <v>147</v>
      </c>
    </row>
    <row r="371">
      <c r="A371" t="s">
        <v>778</v>
      </c>
      <c r="B371" s="1">
        <v>46287</v>
      </c>
      <c r="C371" t="s">
        <v>50</v>
      </c>
      <c r="D371" t="s">
        <v>64</v>
      </c>
      <c r="E371" t="s">
        <v>779</v>
      </c>
      <c r="F371" t="s">
        <v>8</v>
      </c>
      <c r="G371" t="s">
        <v>31</v>
      </c>
      <c r="H371">
        <v>19</v>
      </c>
      <c r="I371">
        <v>2</v>
      </c>
      <c r="J371">
        <v>3</v>
      </c>
      <c r="K371" t="s">
        <v>99</v>
      </c>
    </row>
    <row r="372">
      <c r="A372" t="s">
        <v>780</v>
      </c>
      <c r="B372" s="1">
        <v>46287</v>
      </c>
      <c r="C372" t="s">
        <v>50</v>
      </c>
      <c r="D372" t="s">
        <v>72</v>
      </c>
      <c r="E372" t="s">
        <v>781</v>
      </c>
      <c r="F372" t="s">
        <v>11</v>
      </c>
      <c r="G372" t="s">
        <v>30</v>
      </c>
      <c r="H372">
        <v>56</v>
      </c>
      <c r="I372">
        <v>4</v>
      </c>
      <c r="J372">
        <v>1</v>
      </c>
      <c r="K372" t="s">
        <v>248</v>
      </c>
    </row>
    <row r="373">
      <c r="A373" t="s">
        <v>782</v>
      </c>
      <c r="B373" s="1">
        <v>46287</v>
      </c>
      <c r="C373" t="s">
        <v>50</v>
      </c>
      <c r="D373" t="s">
        <v>72</v>
      </c>
      <c r="E373" t="s">
        <v>783</v>
      </c>
      <c r="F373" t="s">
        <v>12</v>
      </c>
      <c r="G373" t="s">
        <v>31</v>
      </c>
      <c r="H373">
        <v>180</v>
      </c>
      <c r="I373">
        <v>34</v>
      </c>
      <c r="J373">
        <v>27</v>
      </c>
      <c r="K373" t="s">
        <v>220</v>
      </c>
    </row>
    <row r="374">
      <c r="A374" t="s">
        <v>784</v>
      </c>
      <c r="B374" s="1">
        <v>46288</v>
      </c>
      <c r="C374" t="s">
        <v>50</v>
      </c>
      <c r="D374" t="s">
        <v>83</v>
      </c>
      <c r="E374" t="s">
        <v>785</v>
      </c>
      <c r="F374" t="s">
        <v>5</v>
      </c>
      <c r="G374" t="s">
        <v>30</v>
      </c>
      <c r="H374">
        <v>30</v>
      </c>
      <c r="I374">
        <v>4</v>
      </c>
      <c r="J374">
        <v>5</v>
      </c>
      <c r="K374" t="s">
        <v>93</v>
      </c>
    </row>
    <row r="375">
      <c r="A375" t="s">
        <v>786</v>
      </c>
      <c r="B375" s="1">
        <v>46288</v>
      </c>
      <c r="C375" t="s">
        <v>50</v>
      </c>
      <c r="D375" t="s">
        <v>68</v>
      </c>
      <c r="E375" t="s">
        <v>787</v>
      </c>
      <c r="F375" t="s">
        <v>9</v>
      </c>
      <c r="G375" t="s">
        <v>30</v>
      </c>
      <c r="H375">
        <v>10</v>
      </c>
      <c r="I375">
        <v>0</v>
      </c>
      <c r="J375">
        <v>0</v>
      </c>
      <c r="K375" t="s">
        <v>122</v>
      </c>
    </row>
    <row r="376">
      <c r="A376" t="s">
        <v>788</v>
      </c>
      <c r="B376" s="1">
        <v>46288</v>
      </c>
      <c r="C376" t="s">
        <v>50</v>
      </c>
      <c r="D376" t="s">
        <v>68</v>
      </c>
      <c r="E376" t="s">
        <v>789</v>
      </c>
      <c r="F376" t="s">
        <v>10</v>
      </c>
      <c r="G376" t="s">
        <v>32</v>
      </c>
      <c r="H376">
        <v>21</v>
      </c>
      <c r="I376">
        <v>3</v>
      </c>
      <c r="J376">
        <v>2</v>
      </c>
      <c r="K376" t="s">
        <v>70</v>
      </c>
    </row>
    <row r="377">
      <c r="A377" t="s">
        <v>790</v>
      </c>
      <c r="B377" s="1">
        <v>46288</v>
      </c>
      <c r="C377" t="s">
        <v>50</v>
      </c>
      <c r="D377" t="s">
        <v>79</v>
      </c>
      <c r="E377" t="s">
        <v>791</v>
      </c>
      <c r="F377" t="s">
        <v>11</v>
      </c>
      <c r="G377" t="s">
        <v>32</v>
      </c>
      <c r="H377">
        <v>40</v>
      </c>
      <c r="I377">
        <v>2</v>
      </c>
      <c r="J377">
        <v>3</v>
      </c>
      <c r="K377" t="s">
        <v>248</v>
      </c>
    </row>
    <row r="378">
      <c r="A378" t="s">
        <v>792</v>
      </c>
      <c r="B378" s="1">
        <v>46288</v>
      </c>
      <c r="C378" t="s">
        <v>50</v>
      </c>
      <c r="D378" t="s">
        <v>79</v>
      </c>
      <c r="E378" t="s">
        <v>793</v>
      </c>
      <c r="F378" t="s">
        <v>13</v>
      </c>
      <c r="G378" t="s">
        <v>32</v>
      </c>
      <c r="H378">
        <v>72</v>
      </c>
      <c r="I378">
        <v>21</v>
      </c>
      <c r="J378">
        <v>4</v>
      </c>
      <c r="K378" t="s">
        <v>328</v>
      </c>
    </row>
    <row r="379">
      <c r="A379" t="s">
        <v>794</v>
      </c>
      <c r="B379" s="1">
        <v>46289</v>
      </c>
      <c r="C379" t="s">
        <v>50</v>
      </c>
      <c r="D379" t="s">
        <v>72</v>
      </c>
      <c r="E379" t="s">
        <v>795</v>
      </c>
      <c r="F379" t="s">
        <v>4</v>
      </c>
      <c r="G379" t="s">
        <v>32</v>
      </c>
      <c r="H379">
        <v>140</v>
      </c>
      <c r="I379">
        <v>37</v>
      </c>
      <c r="J379">
        <v>5</v>
      </c>
      <c r="K379" t="s">
        <v>171</v>
      </c>
    </row>
    <row r="380">
      <c r="A380" t="s">
        <v>796</v>
      </c>
      <c r="B380" s="1">
        <v>46289</v>
      </c>
      <c r="C380" t="s">
        <v>50</v>
      </c>
      <c r="D380" t="s">
        <v>72</v>
      </c>
      <c r="E380" t="s">
        <v>797</v>
      </c>
      <c r="F380" t="s">
        <v>5</v>
      </c>
      <c r="G380" t="s">
        <v>32</v>
      </c>
      <c r="H380">
        <v>42</v>
      </c>
      <c r="I380">
        <v>11</v>
      </c>
      <c r="J380">
        <v>2</v>
      </c>
      <c r="K380" t="s">
        <v>93</v>
      </c>
    </row>
    <row r="381">
      <c r="A381" t="s">
        <v>798</v>
      </c>
      <c r="B381" s="1">
        <v>46289</v>
      </c>
      <c r="C381" t="s">
        <v>50</v>
      </c>
      <c r="D381" t="s">
        <v>79</v>
      </c>
      <c r="E381" t="s">
        <v>799</v>
      </c>
      <c r="F381" t="s">
        <v>7</v>
      </c>
      <c r="G381" t="s">
        <v>32</v>
      </c>
      <c r="H381">
        <v>15</v>
      </c>
      <c r="I381">
        <v>3</v>
      </c>
      <c r="J381">
        <v>0</v>
      </c>
      <c r="K381" t="s">
        <v>117</v>
      </c>
    </row>
    <row r="382">
      <c r="A382" t="s">
        <v>800</v>
      </c>
      <c r="B382" s="1">
        <v>46289</v>
      </c>
      <c r="C382" t="s">
        <v>50</v>
      </c>
      <c r="D382" t="s">
        <v>72</v>
      </c>
      <c r="E382" t="s">
        <v>198</v>
      </c>
      <c r="F382" t="s">
        <v>10</v>
      </c>
      <c r="G382" t="s">
        <v>31</v>
      </c>
      <c r="H382">
        <v>7</v>
      </c>
      <c r="I382">
        <v>1</v>
      </c>
      <c r="J382">
        <v>0</v>
      </c>
      <c r="K382" t="s">
        <v>96</v>
      </c>
    </row>
    <row r="383">
      <c r="A383" t="s">
        <v>801</v>
      </c>
      <c r="B383" s="1">
        <v>46289</v>
      </c>
      <c r="C383" t="s">
        <v>50</v>
      </c>
      <c r="D383" t="s">
        <v>64</v>
      </c>
      <c r="E383" t="s">
        <v>231</v>
      </c>
      <c r="F383" t="s">
        <v>12</v>
      </c>
      <c r="G383" t="s">
        <v>30</v>
      </c>
      <c r="H383">
        <v>50</v>
      </c>
      <c r="I383">
        <v>10</v>
      </c>
      <c r="J383">
        <v>6</v>
      </c>
      <c r="K383" t="s">
        <v>220</v>
      </c>
    </row>
    <row r="384">
      <c r="A384" t="s">
        <v>802</v>
      </c>
      <c r="B384" s="1">
        <v>46291</v>
      </c>
      <c r="C384" t="s">
        <v>50</v>
      </c>
      <c r="D384" t="s">
        <v>79</v>
      </c>
      <c r="E384" t="s">
        <v>239</v>
      </c>
      <c r="F384" t="s">
        <v>8</v>
      </c>
      <c r="G384" t="s">
        <v>32</v>
      </c>
      <c r="H384">
        <v>270</v>
      </c>
      <c r="I384">
        <v>52</v>
      </c>
      <c r="J384">
        <v>39</v>
      </c>
      <c r="K384" t="s">
        <v>99</v>
      </c>
    </row>
    <row r="385">
      <c r="A385" t="s">
        <v>803</v>
      </c>
      <c r="B385" s="1">
        <v>46291</v>
      </c>
      <c r="C385" t="s">
        <v>50</v>
      </c>
      <c r="D385" t="s">
        <v>72</v>
      </c>
      <c r="E385" t="s">
        <v>804</v>
      </c>
      <c r="F385" t="s">
        <v>13</v>
      </c>
      <c r="G385" t="s">
        <v>31</v>
      </c>
      <c r="H385">
        <v>25</v>
      </c>
      <c r="I385">
        <v>7</v>
      </c>
      <c r="J385">
        <v>1</v>
      </c>
      <c r="K385" t="s">
        <v>328</v>
      </c>
    </row>
    <row r="386">
      <c r="A386" t="s">
        <v>805</v>
      </c>
      <c r="B386" s="1">
        <v>46292</v>
      </c>
      <c r="C386" t="s">
        <v>50</v>
      </c>
      <c r="D386" t="s">
        <v>72</v>
      </c>
      <c r="E386" t="s">
        <v>783</v>
      </c>
      <c r="F386" t="s">
        <v>4</v>
      </c>
      <c r="G386" t="s">
        <v>31</v>
      </c>
      <c r="H386">
        <v>226</v>
      </c>
      <c r="I386">
        <v>31</v>
      </c>
      <c r="J386">
        <v>33</v>
      </c>
      <c r="K386" t="s">
        <v>74</v>
      </c>
    </row>
    <row r="387">
      <c r="A387" t="s">
        <v>806</v>
      </c>
      <c r="B387" s="1">
        <v>46292</v>
      </c>
      <c r="C387" t="s">
        <v>50</v>
      </c>
      <c r="D387" t="s">
        <v>72</v>
      </c>
      <c r="E387" t="s">
        <v>807</v>
      </c>
      <c r="F387" t="s">
        <v>11</v>
      </c>
      <c r="G387" t="s">
        <v>31</v>
      </c>
      <c r="H387">
        <v>20</v>
      </c>
      <c r="I387">
        <v>1</v>
      </c>
      <c r="J387">
        <v>3</v>
      </c>
      <c r="K387" t="s">
        <v>127</v>
      </c>
    </row>
    <row r="388">
      <c r="A388" t="s">
        <v>808</v>
      </c>
      <c r="B388" s="1">
        <v>46293</v>
      </c>
      <c r="C388" t="s">
        <v>50</v>
      </c>
      <c r="D388" t="s">
        <v>104</v>
      </c>
      <c r="E388" t="s">
        <v>809</v>
      </c>
      <c r="F388" t="s">
        <v>6</v>
      </c>
      <c r="G388" t="s">
        <v>30</v>
      </c>
      <c r="H388">
        <v>19</v>
      </c>
      <c r="I388">
        <v>4</v>
      </c>
      <c r="J388">
        <v>1</v>
      </c>
      <c r="K388" t="s">
        <v>114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